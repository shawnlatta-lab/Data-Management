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wn\OneDrive\Desktop\"/>
    </mc:Choice>
  </mc:AlternateContent>
  <xr:revisionPtr revIDLastSave="0" documentId="13_ncr:1_{2C629898-6FCB-4FEF-9405-F44866099AC9}" xr6:coauthVersionLast="47" xr6:coauthVersionMax="47" xr10:uidLastSave="{00000000-0000-0000-0000-000000000000}"/>
  <bookViews>
    <workbookView xWindow="28680" yWindow="-120" windowWidth="29040" windowHeight="15720" activeTab="2" xr2:uid="{7F803768-26E7-4124-B25E-7E82A13A5D1A}"/>
  </bookViews>
  <sheets>
    <sheet name="Raw Rejection Data" sheetId="1" r:id="rId1"/>
    <sheet name="Stats" sheetId="2" r:id="rId2"/>
    <sheet name="Derived Rejection Data" sheetId="3" r:id="rId3"/>
  </sheets>
  <definedNames>
    <definedName name="_xlnm._FilterDatabase" localSheetId="0" hidden="1">'Raw Rejection Data'!$A$3:$G$3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A3" i="2"/>
  <c r="H12" i="2" s="1"/>
  <c r="A4" i="2"/>
  <c r="H14" i="2" s="1"/>
  <c r="H47" i="2"/>
  <c r="A5" i="2"/>
  <c r="C5" i="2" s="1"/>
  <c r="A6" i="2"/>
  <c r="H30" i="2" s="1"/>
  <c r="A7" i="2"/>
  <c r="A8" i="2"/>
  <c r="A9" i="2"/>
  <c r="C8" i="2"/>
  <c r="H32" i="2"/>
  <c r="B2" i="2"/>
  <c r="A2" i="2"/>
  <c r="H2" i="2" s="1"/>
  <c r="A13" i="3"/>
  <c r="H21" i="3"/>
  <c r="G19" i="3"/>
  <c r="F19" i="3"/>
  <c r="E19" i="3"/>
  <c r="D19" i="3"/>
  <c r="C19" i="3"/>
  <c r="B19" i="3"/>
  <c r="A19" i="3"/>
  <c r="B4" i="3"/>
  <c r="C4" i="3"/>
  <c r="D4" i="3"/>
  <c r="E4" i="3"/>
  <c r="F4" i="3"/>
  <c r="G4" i="3"/>
  <c r="B5" i="3"/>
  <c r="C5" i="3"/>
  <c r="D5" i="3"/>
  <c r="E5" i="3"/>
  <c r="F5" i="3"/>
  <c r="G5" i="3"/>
  <c r="B6" i="3"/>
  <c r="C6" i="3"/>
  <c r="D6" i="3"/>
  <c r="E6" i="3"/>
  <c r="F6" i="3"/>
  <c r="G6" i="3"/>
  <c r="B7" i="3"/>
  <c r="C7" i="3"/>
  <c r="D7" i="3"/>
  <c r="E7" i="3"/>
  <c r="F7" i="3"/>
  <c r="G7" i="3"/>
  <c r="B8" i="3"/>
  <c r="C8" i="3"/>
  <c r="D8" i="3"/>
  <c r="E8" i="3"/>
  <c r="F8" i="3"/>
  <c r="G8" i="3"/>
  <c r="B9" i="3"/>
  <c r="C9" i="3"/>
  <c r="D9" i="3"/>
  <c r="E9" i="3"/>
  <c r="F9" i="3"/>
  <c r="G9" i="3"/>
  <c r="B10" i="3"/>
  <c r="C10" i="3"/>
  <c r="D10" i="3"/>
  <c r="E10" i="3"/>
  <c r="F10" i="3"/>
  <c r="G10" i="3"/>
  <c r="B11" i="3"/>
  <c r="C11" i="3"/>
  <c r="D11" i="3"/>
  <c r="E11" i="3"/>
  <c r="F11" i="3"/>
  <c r="G11" i="3"/>
  <c r="B12" i="3"/>
  <c r="C12" i="3"/>
  <c r="D12" i="3"/>
  <c r="E12" i="3"/>
  <c r="F12" i="3"/>
  <c r="G12" i="3"/>
  <c r="B13" i="3"/>
  <c r="C13" i="3"/>
  <c r="D13" i="3"/>
  <c r="E13" i="3"/>
  <c r="F13" i="3"/>
  <c r="G13" i="3"/>
  <c r="B14" i="3"/>
  <c r="C14" i="3"/>
  <c r="D14" i="3"/>
  <c r="E14" i="3"/>
  <c r="F14" i="3"/>
  <c r="G14" i="3"/>
  <c r="B15" i="3"/>
  <c r="C15" i="3"/>
  <c r="D15" i="3"/>
  <c r="E15" i="3"/>
  <c r="F15" i="3"/>
  <c r="G15" i="3"/>
  <c r="B16" i="3"/>
  <c r="C16" i="3"/>
  <c r="D16" i="3"/>
  <c r="E16" i="3"/>
  <c r="F16" i="3"/>
  <c r="G16" i="3"/>
  <c r="B17" i="3"/>
  <c r="C17" i="3"/>
  <c r="D17" i="3"/>
  <c r="E17" i="3"/>
  <c r="F17" i="3"/>
  <c r="G17" i="3"/>
  <c r="B18" i="3"/>
  <c r="C18" i="3"/>
  <c r="D18" i="3"/>
  <c r="E18" i="3"/>
  <c r="F18" i="3"/>
  <c r="G18" i="3"/>
  <c r="I13" i="3"/>
  <c r="A14" i="3"/>
  <c r="AK14" i="3" s="1"/>
  <c r="A15" i="3"/>
  <c r="I15" i="3" s="1"/>
  <c r="A16" i="3"/>
  <c r="A17" i="3"/>
  <c r="I17" i="3" s="1"/>
  <c r="A18" i="3"/>
  <c r="M18" i="3" s="1"/>
  <c r="B3" i="3"/>
  <c r="G3" i="3"/>
  <c r="H15" i="2"/>
  <c r="H6" i="2"/>
  <c r="A4" i="3"/>
  <c r="A5" i="3"/>
  <c r="A6" i="3"/>
  <c r="A7" i="3"/>
  <c r="I7" i="3" s="1"/>
  <c r="A8" i="3"/>
  <c r="A9" i="3"/>
  <c r="I9" i="3" s="1"/>
  <c r="A10" i="3"/>
  <c r="A11" i="3"/>
  <c r="I11" i="3" s="1"/>
  <c r="A12" i="3"/>
  <c r="BC12" i="3" s="1"/>
  <c r="A3" i="3"/>
  <c r="C3" i="3"/>
  <c r="F3" i="3"/>
  <c r="E3" i="3"/>
  <c r="H5" i="2"/>
  <c r="H3" i="2"/>
  <c r="D3" i="3"/>
  <c r="C2" i="2"/>
  <c r="H7" i="2" l="1"/>
  <c r="H4" i="2"/>
  <c r="H20" i="2"/>
  <c r="H19" i="2"/>
  <c r="H21" i="2"/>
  <c r="H13" i="2"/>
  <c r="H8" i="2"/>
  <c r="H10" i="2"/>
  <c r="H16" i="2"/>
  <c r="H17" i="2"/>
  <c r="H18" i="2"/>
  <c r="H22" i="2"/>
  <c r="H11" i="2"/>
  <c r="H9" i="2"/>
  <c r="BD19" i="3"/>
  <c r="H24" i="2"/>
  <c r="C9" i="2"/>
  <c r="H27" i="2"/>
  <c r="H25" i="2"/>
  <c r="H28" i="2"/>
  <c r="H31" i="2"/>
  <c r="H41" i="2"/>
  <c r="C7" i="2"/>
  <c r="H29" i="2"/>
  <c r="H44" i="2"/>
  <c r="H48" i="2"/>
  <c r="H35" i="2"/>
  <c r="C6" i="2"/>
  <c r="H23" i="2"/>
  <c r="H45" i="2"/>
  <c r="H49" i="2"/>
  <c r="H46" i="2"/>
  <c r="H26" i="2"/>
  <c r="C4" i="2"/>
  <c r="C3" i="2"/>
  <c r="H42" i="2"/>
  <c r="H36" i="2"/>
  <c r="H37" i="2"/>
  <c r="H43" i="2"/>
  <c r="H33" i="2"/>
  <c r="H34" i="2"/>
  <c r="H38" i="2"/>
  <c r="H39" i="2"/>
  <c r="H40" i="2"/>
  <c r="E21" i="3"/>
  <c r="J3" i="3"/>
  <c r="B21" i="3"/>
  <c r="D21" i="3"/>
  <c r="F4" i="2" s="1"/>
  <c r="BD16" i="3"/>
  <c r="F21" i="3"/>
  <c r="F6" i="2" s="1"/>
  <c r="C21" i="3"/>
  <c r="F3" i="2" s="1"/>
  <c r="G21" i="3"/>
  <c r="F7" i="2" s="1"/>
  <c r="S17" i="3"/>
  <c r="AQ15" i="3"/>
  <c r="AE11" i="3"/>
  <c r="S11" i="3"/>
  <c r="K19" i="3"/>
  <c r="L19" i="3"/>
  <c r="U19" i="3"/>
  <c r="Y16" i="3"/>
  <c r="AQ11" i="3"/>
  <c r="AE15" i="3"/>
  <c r="AQ9" i="3"/>
  <c r="V19" i="3"/>
  <c r="M16" i="3"/>
  <c r="S15" i="3"/>
  <c r="AE9" i="3"/>
  <c r="W19" i="3"/>
  <c r="AQ13" i="3"/>
  <c r="S9" i="3"/>
  <c r="AG19" i="3"/>
  <c r="AE13" i="3"/>
  <c r="AQ7" i="3"/>
  <c r="AH19" i="3"/>
  <c r="AQ17" i="3"/>
  <c r="S13" i="3"/>
  <c r="AE7" i="3"/>
  <c r="AI19" i="3"/>
  <c r="AE17" i="3"/>
  <c r="AW12" i="3"/>
  <c r="S7" i="3"/>
  <c r="AS19" i="3"/>
  <c r="AT19" i="3"/>
  <c r="AK12" i="3"/>
  <c r="AW16" i="3"/>
  <c r="Y12" i="3"/>
  <c r="I19" i="3"/>
  <c r="AU19" i="3"/>
  <c r="AK16" i="3"/>
  <c r="M12" i="3"/>
  <c r="J19" i="3"/>
  <c r="X19" i="3"/>
  <c r="AJ19" i="3"/>
  <c r="AV19" i="3"/>
  <c r="M19" i="3"/>
  <c r="Y19" i="3"/>
  <c r="AK19" i="3"/>
  <c r="AW19" i="3"/>
  <c r="N19" i="3"/>
  <c r="Z19" i="3"/>
  <c r="AL19" i="3"/>
  <c r="AX19" i="3"/>
  <c r="O19" i="3"/>
  <c r="AA19" i="3"/>
  <c r="AM19" i="3"/>
  <c r="AY19" i="3"/>
  <c r="P19" i="3"/>
  <c r="AB19" i="3"/>
  <c r="AN19" i="3"/>
  <c r="AZ19" i="3"/>
  <c r="Q19" i="3"/>
  <c r="AC19" i="3"/>
  <c r="AO19" i="3"/>
  <c r="BA19" i="3"/>
  <c r="R19" i="3"/>
  <c r="AD19" i="3"/>
  <c r="AP19" i="3"/>
  <c r="BB19" i="3"/>
  <c r="S19" i="3"/>
  <c r="AE19" i="3"/>
  <c r="AQ19" i="3"/>
  <c r="BC19" i="3"/>
  <c r="T19" i="3"/>
  <c r="AF19" i="3"/>
  <c r="AR19" i="3"/>
  <c r="AW18" i="3"/>
  <c r="AK18" i="3"/>
  <c r="Y18" i="3"/>
  <c r="AW14" i="3"/>
  <c r="BB8" i="3"/>
  <c r="AY8" i="3"/>
  <c r="O8" i="3"/>
  <c r="AA8" i="3"/>
  <c r="AM8" i="3"/>
  <c r="P8" i="3"/>
  <c r="AB8" i="3"/>
  <c r="AN8" i="3"/>
  <c r="Q8" i="3"/>
  <c r="AC8" i="3"/>
  <c r="AO8" i="3"/>
  <c r="R8" i="3"/>
  <c r="AD8" i="3"/>
  <c r="AP8" i="3"/>
  <c r="BD8" i="3"/>
  <c r="BA8" i="3"/>
  <c r="S8" i="3"/>
  <c r="AE8" i="3"/>
  <c r="AQ8" i="3"/>
  <c r="T8" i="3"/>
  <c r="AF8" i="3"/>
  <c r="AR8" i="3"/>
  <c r="I8" i="3"/>
  <c r="U8" i="3"/>
  <c r="AG8" i="3"/>
  <c r="AS8" i="3"/>
  <c r="J8" i="3"/>
  <c r="V8" i="3"/>
  <c r="AH8" i="3"/>
  <c r="AT8" i="3"/>
  <c r="BC8" i="3"/>
  <c r="AZ8" i="3"/>
  <c r="K8" i="3"/>
  <c r="W8" i="3"/>
  <c r="AI8" i="3"/>
  <c r="AU8" i="3"/>
  <c r="L8" i="3"/>
  <c r="X8" i="3"/>
  <c r="AJ8" i="3"/>
  <c r="AV8" i="3"/>
  <c r="M8" i="3"/>
  <c r="Y8" i="3"/>
  <c r="AK8" i="3"/>
  <c r="AW8" i="3"/>
  <c r="N8" i="3"/>
  <c r="Z8" i="3"/>
  <c r="AL8" i="3"/>
  <c r="AX8" i="3"/>
  <c r="BD4" i="3"/>
  <c r="BA4" i="3"/>
  <c r="O4" i="3"/>
  <c r="AA4" i="3"/>
  <c r="AM4" i="3"/>
  <c r="P4" i="3"/>
  <c r="AB4" i="3"/>
  <c r="AN4" i="3"/>
  <c r="Q4" i="3"/>
  <c r="AC4" i="3"/>
  <c r="AO4" i="3"/>
  <c r="R4" i="3"/>
  <c r="AD4" i="3"/>
  <c r="AP4" i="3"/>
  <c r="BC4" i="3"/>
  <c r="AZ4" i="3"/>
  <c r="S4" i="3"/>
  <c r="AE4" i="3"/>
  <c r="AQ4" i="3"/>
  <c r="T4" i="3"/>
  <c r="AF4" i="3"/>
  <c r="AR4" i="3"/>
  <c r="I4" i="3"/>
  <c r="U4" i="3"/>
  <c r="AG4" i="3"/>
  <c r="AS4" i="3"/>
  <c r="J4" i="3"/>
  <c r="V4" i="3"/>
  <c r="AH4" i="3"/>
  <c r="AT4" i="3"/>
  <c r="BB4" i="3"/>
  <c r="AY4" i="3"/>
  <c r="K4" i="3"/>
  <c r="W4" i="3"/>
  <c r="AI4" i="3"/>
  <c r="AU4" i="3"/>
  <c r="L4" i="3"/>
  <c r="X4" i="3"/>
  <c r="AJ4" i="3"/>
  <c r="AV4" i="3"/>
  <c r="M4" i="3"/>
  <c r="Y4" i="3"/>
  <c r="AK4" i="3"/>
  <c r="AW4" i="3"/>
  <c r="N4" i="3"/>
  <c r="Z4" i="3"/>
  <c r="AL4" i="3"/>
  <c r="AX4" i="3"/>
  <c r="O18" i="3"/>
  <c r="AA18" i="3"/>
  <c r="AM18" i="3"/>
  <c r="P18" i="3"/>
  <c r="AB18" i="3"/>
  <c r="AN18" i="3"/>
  <c r="BD18" i="3"/>
  <c r="BA18" i="3"/>
  <c r="Q18" i="3"/>
  <c r="AC18" i="3"/>
  <c r="AO18" i="3"/>
  <c r="R18" i="3"/>
  <c r="AD18" i="3"/>
  <c r="AP18" i="3"/>
  <c r="S18" i="3"/>
  <c r="AE18" i="3"/>
  <c r="AQ18" i="3"/>
  <c r="T18" i="3"/>
  <c r="AF18" i="3"/>
  <c r="AR18" i="3"/>
  <c r="BC18" i="3"/>
  <c r="AZ18" i="3"/>
  <c r="I18" i="3"/>
  <c r="U18" i="3"/>
  <c r="AG18" i="3"/>
  <c r="AS18" i="3"/>
  <c r="J18" i="3"/>
  <c r="V18" i="3"/>
  <c r="AH18" i="3"/>
  <c r="AT18" i="3"/>
  <c r="K18" i="3"/>
  <c r="W18" i="3"/>
  <c r="AI18" i="3"/>
  <c r="AU18" i="3"/>
  <c r="L18" i="3"/>
  <c r="X18" i="3"/>
  <c r="AJ18" i="3"/>
  <c r="AV18" i="3"/>
  <c r="BB18" i="3"/>
  <c r="AY18" i="3"/>
  <c r="N18" i="3"/>
  <c r="Z18" i="3"/>
  <c r="AL18" i="3"/>
  <c r="AX18" i="3"/>
  <c r="O14" i="3"/>
  <c r="AA14" i="3"/>
  <c r="AM14" i="3"/>
  <c r="P14" i="3"/>
  <c r="AB14" i="3"/>
  <c r="AN14" i="3"/>
  <c r="BC14" i="3"/>
  <c r="AZ14" i="3"/>
  <c r="Q14" i="3"/>
  <c r="AC14" i="3"/>
  <c r="AO14" i="3"/>
  <c r="R14" i="3"/>
  <c r="AD14" i="3"/>
  <c r="AP14" i="3"/>
  <c r="S14" i="3"/>
  <c r="AE14" i="3"/>
  <c r="AQ14" i="3"/>
  <c r="T14" i="3"/>
  <c r="AF14" i="3"/>
  <c r="AR14" i="3"/>
  <c r="BB14" i="3"/>
  <c r="AY14" i="3"/>
  <c r="I14" i="3"/>
  <c r="U14" i="3"/>
  <c r="AG14" i="3"/>
  <c r="AS14" i="3"/>
  <c r="J14" i="3"/>
  <c r="V14" i="3"/>
  <c r="AH14" i="3"/>
  <c r="AT14" i="3"/>
  <c r="K14" i="3"/>
  <c r="W14" i="3"/>
  <c r="AI14" i="3"/>
  <c r="AU14" i="3"/>
  <c r="L14" i="3"/>
  <c r="X14" i="3"/>
  <c r="AJ14" i="3"/>
  <c r="AV14" i="3"/>
  <c r="BD14" i="3"/>
  <c r="BA14" i="3"/>
  <c r="N14" i="3"/>
  <c r="Z14" i="3"/>
  <c r="AL14" i="3"/>
  <c r="AX14" i="3"/>
  <c r="O6" i="3"/>
  <c r="AA6" i="3"/>
  <c r="AM6" i="3"/>
  <c r="P6" i="3"/>
  <c r="AB6" i="3"/>
  <c r="AN6" i="3"/>
  <c r="BD6" i="3"/>
  <c r="BA6" i="3"/>
  <c r="Q6" i="3"/>
  <c r="AC6" i="3"/>
  <c r="AO6" i="3"/>
  <c r="R6" i="3"/>
  <c r="AD6" i="3"/>
  <c r="AP6" i="3"/>
  <c r="S6" i="3"/>
  <c r="AE6" i="3"/>
  <c r="AQ6" i="3"/>
  <c r="T6" i="3"/>
  <c r="AF6" i="3"/>
  <c r="AR6" i="3"/>
  <c r="BC6" i="3"/>
  <c r="AZ6" i="3"/>
  <c r="I6" i="3"/>
  <c r="U6" i="3"/>
  <c r="AG6" i="3"/>
  <c r="AS6" i="3"/>
  <c r="J6" i="3"/>
  <c r="V6" i="3"/>
  <c r="AH6" i="3"/>
  <c r="AT6" i="3"/>
  <c r="K6" i="3"/>
  <c r="W6" i="3"/>
  <c r="AI6" i="3"/>
  <c r="AU6" i="3"/>
  <c r="L6" i="3"/>
  <c r="X6" i="3"/>
  <c r="AJ6" i="3"/>
  <c r="AV6" i="3"/>
  <c r="BB6" i="3"/>
  <c r="AY6" i="3"/>
  <c r="M6" i="3"/>
  <c r="Y6" i="3"/>
  <c r="AK6" i="3"/>
  <c r="AW6" i="3"/>
  <c r="N6" i="3"/>
  <c r="Z6" i="3"/>
  <c r="AL6" i="3"/>
  <c r="AX6" i="3"/>
  <c r="I5" i="3"/>
  <c r="U5" i="3"/>
  <c r="AG5" i="3"/>
  <c r="AS5" i="3"/>
  <c r="BD5" i="3"/>
  <c r="BA5" i="3"/>
  <c r="J5" i="3"/>
  <c r="V5" i="3"/>
  <c r="AH5" i="3"/>
  <c r="AT5" i="3"/>
  <c r="K5" i="3"/>
  <c r="W5" i="3"/>
  <c r="AI5" i="3"/>
  <c r="AU5" i="3"/>
  <c r="L5" i="3"/>
  <c r="X5" i="3"/>
  <c r="AJ5" i="3"/>
  <c r="AV5" i="3"/>
  <c r="M5" i="3"/>
  <c r="Y5" i="3"/>
  <c r="AK5" i="3"/>
  <c r="AW5" i="3"/>
  <c r="BC5" i="3"/>
  <c r="AZ5" i="3"/>
  <c r="N5" i="3"/>
  <c r="Z5" i="3"/>
  <c r="AL5" i="3"/>
  <c r="AX5" i="3"/>
  <c r="O5" i="3"/>
  <c r="AA5" i="3"/>
  <c r="AM5" i="3"/>
  <c r="P5" i="3"/>
  <c r="AB5" i="3"/>
  <c r="AN5" i="3"/>
  <c r="Q5" i="3"/>
  <c r="AC5" i="3"/>
  <c r="AO5" i="3"/>
  <c r="BB5" i="3"/>
  <c r="AY5" i="3"/>
  <c r="R5" i="3"/>
  <c r="AD5" i="3"/>
  <c r="AP5" i="3"/>
  <c r="S5" i="3"/>
  <c r="AE5" i="3"/>
  <c r="AQ5" i="3"/>
  <c r="T5" i="3"/>
  <c r="AF5" i="3"/>
  <c r="AR5" i="3"/>
  <c r="O10" i="3"/>
  <c r="AA10" i="3"/>
  <c r="AM10" i="3"/>
  <c r="P10" i="3"/>
  <c r="AB10" i="3"/>
  <c r="AN10" i="3"/>
  <c r="BB10" i="3"/>
  <c r="AY10" i="3"/>
  <c r="Q10" i="3"/>
  <c r="AC10" i="3"/>
  <c r="AO10" i="3"/>
  <c r="R10" i="3"/>
  <c r="AD10" i="3"/>
  <c r="AP10" i="3"/>
  <c r="S10" i="3"/>
  <c r="AE10" i="3"/>
  <c r="AQ10" i="3"/>
  <c r="T10" i="3"/>
  <c r="AF10" i="3"/>
  <c r="AR10" i="3"/>
  <c r="BD10" i="3"/>
  <c r="BA10" i="3"/>
  <c r="I10" i="3"/>
  <c r="U10" i="3"/>
  <c r="AG10" i="3"/>
  <c r="AS10" i="3"/>
  <c r="J10" i="3"/>
  <c r="V10" i="3"/>
  <c r="AH10" i="3"/>
  <c r="AT10" i="3"/>
  <c r="K10" i="3"/>
  <c r="W10" i="3"/>
  <c r="AI10" i="3"/>
  <c r="AU10" i="3"/>
  <c r="L10" i="3"/>
  <c r="X10" i="3"/>
  <c r="AJ10" i="3"/>
  <c r="AV10" i="3"/>
  <c r="BC10" i="3"/>
  <c r="AZ10" i="3"/>
  <c r="M10" i="3"/>
  <c r="N10" i="3"/>
  <c r="Z10" i="3"/>
  <c r="AL10" i="3"/>
  <c r="AX10" i="3"/>
  <c r="Y14" i="3"/>
  <c r="AW10" i="3"/>
  <c r="M14" i="3"/>
  <c r="AK10" i="3"/>
  <c r="Y10" i="3"/>
  <c r="AR17" i="3"/>
  <c r="AF17" i="3"/>
  <c r="T17" i="3"/>
  <c r="AX16" i="3"/>
  <c r="AL16" i="3"/>
  <c r="Z16" i="3"/>
  <c r="N16" i="3"/>
  <c r="AR15" i="3"/>
  <c r="AF15" i="3"/>
  <c r="T15" i="3"/>
  <c r="AR13" i="3"/>
  <c r="AF13" i="3"/>
  <c r="T13" i="3"/>
  <c r="AX12" i="3"/>
  <c r="AL12" i="3"/>
  <c r="Z12" i="3"/>
  <c r="N12" i="3"/>
  <c r="AR11" i="3"/>
  <c r="AF11" i="3"/>
  <c r="T11" i="3"/>
  <c r="AR9" i="3"/>
  <c r="AF9" i="3"/>
  <c r="T9" i="3"/>
  <c r="AR7" i="3"/>
  <c r="AF7" i="3"/>
  <c r="T7" i="3"/>
  <c r="AY3" i="3"/>
  <c r="AY7" i="3"/>
  <c r="AZ11" i="3"/>
  <c r="BA15" i="3"/>
  <c r="BB3" i="3"/>
  <c r="BB7" i="3"/>
  <c r="BC11" i="3"/>
  <c r="BD15" i="3"/>
  <c r="AP17" i="3"/>
  <c r="AD17" i="3"/>
  <c r="R17" i="3"/>
  <c r="AV16" i="3"/>
  <c r="AJ16" i="3"/>
  <c r="X16" i="3"/>
  <c r="L16" i="3"/>
  <c r="AP15" i="3"/>
  <c r="AD15" i="3"/>
  <c r="R15" i="3"/>
  <c r="AP13" i="3"/>
  <c r="AD13" i="3"/>
  <c r="R13" i="3"/>
  <c r="AV12" i="3"/>
  <c r="AJ12" i="3"/>
  <c r="X12" i="3"/>
  <c r="L12" i="3"/>
  <c r="AP11" i="3"/>
  <c r="AD11" i="3"/>
  <c r="R11" i="3"/>
  <c r="AP9" i="3"/>
  <c r="AD9" i="3"/>
  <c r="R9" i="3"/>
  <c r="AP7" i="3"/>
  <c r="AD7" i="3"/>
  <c r="R7" i="3"/>
  <c r="AY17" i="3"/>
  <c r="AZ9" i="3"/>
  <c r="BA13" i="3"/>
  <c r="BB17" i="3"/>
  <c r="BC9" i="3"/>
  <c r="BD13" i="3"/>
  <c r="AO17" i="3"/>
  <c r="AC17" i="3"/>
  <c r="Q17" i="3"/>
  <c r="AU16" i="3"/>
  <c r="AI16" i="3"/>
  <c r="W16" i="3"/>
  <c r="K16" i="3"/>
  <c r="AO15" i="3"/>
  <c r="AC15" i="3"/>
  <c r="Q15" i="3"/>
  <c r="AO13" i="3"/>
  <c r="AC13" i="3"/>
  <c r="Q13" i="3"/>
  <c r="AU12" i="3"/>
  <c r="AI12" i="3"/>
  <c r="W12" i="3"/>
  <c r="K12" i="3"/>
  <c r="AO11" i="3"/>
  <c r="AC11" i="3"/>
  <c r="Q11" i="3"/>
  <c r="AO9" i="3"/>
  <c r="AC9" i="3"/>
  <c r="Q9" i="3"/>
  <c r="AO7" i="3"/>
  <c r="AC7" i="3"/>
  <c r="Q7" i="3"/>
  <c r="AY16" i="3"/>
  <c r="BA12" i="3"/>
  <c r="BB16" i="3"/>
  <c r="BD12" i="3"/>
  <c r="AN17" i="3"/>
  <c r="AB17" i="3"/>
  <c r="P17" i="3"/>
  <c r="AT16" i="3"/>
  <c r="AH16" i="3"/>
  <c r="V16" i="3"/>
  <c r="J16" i="3"/>
  <c r="AN15" i="3"/>
  <c r="AB15" i="3"/>
  <c r="P15" i="3"/>
  <c r="AN13" i="3"/>
  <c r="AB13" i="3"/>
  <c r="P13" i="3"/>
  <c r="AT12" i="3"/>
  <c r="AH12" i="3"/>
  <c r="V12" i="3"/>
  <c r="J12" i="3"/>
  <c r="AN11" i="3"/>
  <c r="AB11" i="3"/>
  <c r="P11" i="3"/>
  <c r="AN9" i="3"/>
  <c r="AB9" i="3"/>
  <c r="P9" i="3"/>
  <c r="AN7" i="3"/>
  <c r="AB7" i="3"/>
  <c r="P7" i="3"/>
  <c r="AY15" i="3"/>
  <c r="AZ3" i="3"/>
  <c r="AZ7" i="3"/>
  <c r="BA11" i="3"/>
  <c r="BB15" i="3"/>
  <c r="BC3" i="3"/>
  <c r="BC7" i="3"/>
  <c r="BD11" i="3"/>
  <c r="AM17" i="3"/>
  <c r="AA17" i="3"/>
  <c r="O17" i="3"/>
  <c r="AS16" i="3"/>
  <c r="AG16" i="3"/>
  <c r="U16" i="3"/>
  <c r="I16" i="3"/>
  <c r="AM15" i="3"/>
  <c r="AA15" i="3"/>
  <c r="O15" i="3"/>
  <c r="AM13" i="3"/>
  <c r="AA13" i="3"/>
  <c r="O13" i="3"/>
  <c r="AS12" i="3"/>
  <c r="AG12" i="3"/>
  <c r="U12" i="3"/>
  <c r="I12" i="3"/>
  <c r="AM11" i="3"/>
  <c r="AA11" i="3"/>
  <c r="O11" i="3"/>
  <c r="AM9" i="3"/>
  <c r="AA9" i="3"/>
  <c r="O9" i="3"/>
  <c r="AM7" i="3"/>
  <c r="AA7" i="3"/>
  <c r="O7" i="3"/>
  <c r="AX17" i="3"/>
  <c r="AL17" i="3"/>
  <c r="Z17" i="3"/>
  <c r="N17" i="3"/>
  <c r="AR16" i="3"/>
  <c r="AF16" i="3"/>
  <c r="T16" i="3"/>
  <c r="AX15" i="3"/>
  <c r="AL15" i="3"/>
  <c r="Z15" i="3"/>
  <c r="N15" i="3"/>
  <c r="AX13" i="3"/>
  <c r="AL13" i="3"/>
  <c r="Z13" i="3"/>
  <c r="N13" i="3"/>
  <c r="AR12" i="3"/>
  <c r="AF12" i="3"/>
  <c r="T12" i="3"/>
  <c r="AX11" i="3"/>
  <c r="AL11" i="3"/>
  <c r="Z11" i="3"/>
  <c r="N11" i="3"/>
  <c r="AX9" i="3"/>
  <c r="AL9" i="3"/>
  <c r="Z9" i="3"/>
  <c r="N9" i="3"/>
  <c r="AX7" i="3"/>
  <c r="AL7" i="3"/>
  <c r="Z7" i="3"/>
  <c r="N7" i="3"/>
  <c r="AY13" i="3"/>
  <c r="AZ17" i="3"/>
  <c r="BA9" i="3"/>
  <c r="BB13" i="3"/>
  <c r="BC17" i="3"/>
  <c r="BD9" i="3"/>
  <c r="M3" i="3"/>
  <c r="AW17" i="3"/>
  <c r="AK17" i="3"/>
  <c r="Y17" i="3"/>
  <c r="M17" i="3"/>
  <c r="AQ16" i="3"/>
  <c r="AE16" i="3"/>
  <c r="S16" i="3"/>
  <c r="AW15" i="3"/>
  <c r="AK15" i="3"/>
  <c r="Y15" i="3"/>
  <c r="M15" i="3"/>
  <c r="AW13" i="3"/>
  <c r="AK13" i="3"/>
  <c r="Y13" i="3"/>
  <c r="M13" i="3"/>
  <c r="AQ12" i="3"/>
  <c r="AE12" i="3"/>
  <c r="S12" i="3"/>
  <c r="AW11" i="3"/>
  <c r="AK11" i="3"/>
  <c r="Y11" i="3"/>
  <c r="M11" i="3"/>
  <c r="AW9" i="3"/>
  <c r="AK9" i="3"/>
  <c r="Y9" i="3"/>
  <c r="M9" i="3"/>
  <c r="AW7" i="3"/>
  <c r="AK7" i="3"/>
  <c r="Y7" i="3"/>
  <c r="M7" i="3"/>
  <c r="AY12" i="3"/>
  <c r="AZ16" i="3"/>
  <c r="BB12" i="3"/>
  <c r="BC16" i="3"/>
  <c r="N3" i="3"/>
  <c r="AV17" i="3"/>
  <c r="AJ17" i="3"/>
  <c r="X17" i="3"/>
  <c r="L17" i="3"/>
  <c r="AP16" i="3"/>
  <c r="AD16" i="3"/>
  <c r="R16" i="3"/>
  <c r="AV15" i="3"/>
  <c r="AJ15" i="3"/>
  <c r="X15" i="3"/>
  <c r="L15" i="3"/>
  <c r="AV13" i="3"/>
  <c r="AJ13" i="3"/>
  <c r="X13" i="3"/>
  <c r="L13" i="3"/>
  <c r="AP12" i="3"/>
  <c r="AD12" i="3"/>
  <c r="R12" i="3"/>
  <c r="AV11" i="3"/>
  <c r="AJ11" i="3"/>
  <c r="X11" i="3"/>
  <c r="L11" i="3"/>
  <c r="AV9" i="3"/>
  <c r="AJ9" i="3"/>
  <c r="X9" i="3"/>
  <c r="L9" i="3"/>
  <c r="AV7" i="3"/>
  <c r="AJ7" i="3"/>
  <c r="X7" i="3"/>
  <c r="L7" i="3"/>
  <c r="AY11" i="3"/>
  <c r="AZ15" i="3"/>
  <c r="BA3" i="3"/>
  <c r="BA7" i="3"/>
  <c r="BB11" i="3"/>
  <c r="BC15" i="3"/>
  <c r="BD3" i="3"/>
  <c r="BD7" i="3"/>
  <c r="T3" i="3"/>
  <c r="AU17" i="3"/>
  <c r="AI17" i="3"/>
  <c r="W17" i="3"/>
  <c r="K17" i="3"/>
  <c r="AO16" i="3"/>
  <c r="AC16" i="3"/>
  <c r="Q16" i="3"/>
  <c r="AU15" i="3"/>
  <c r="AI15" i="3"/>
  <c r="W15" i="3"/>
  <c r="K15" i="3"/>
  <c r="AU13" i="3"/>
  <c r="AI13" i="3"/>
  <c r="W13" i="3"/>
  <c r="K13" i="3"/>
  <c r="AO12" i="3"/>
  <c r="AC12" i="3"/>
  <c r="Q12" i="3"/>
  <c r="AU11" i="3"/>
  <c r="AI11" i="3"/>
  <c r="W11" i="3"/>
  <c r="K11" i="3"/>
  <c r="AU9" i="3"/>
  <c r="AI9" i="3"/>
  <c r="W9" i="3"/>
  <c r="K9" i="3"/>
  <c r="AU7" i="3"/>
  <c r="AI7" i="3"/>
  <c r="W7" i="3"/>
  <c r="K7" i="3"/>
  <c r="Z3" i="3"/>
  <c r="AT17" i="3"/>
  <c r="AH17" i="3"/>
  <c r="V17" i="3"/>
  <c r="J17" i="3"/>
  <c r="AN16" i="3"/>
  <c r="AB16" i="3"/>
  <c r="P16" i="3"/>
  <c r="AT15" i="3"/>
  <c r="AH15" i="3"/>
  <c r="V15" i="3"/>
  <c r="J15" i="3"/>
  <c r="AT13" i="3"/>
  <c r="AH13" i="3"/>
  <c r="V13" i="3"/>
  <c r="J13" i="3"/>
  <c r="AN12" i="3"/>
  <c r="AB12" i="3"/>
  <c r="P12" i="3"/>
  <c r="AT11" i="3"/>
  <c r="AH11" i="3"/>
  <c r="V11" i="3"/>
  <c r="J11" i="3"/>
  <c r="AT9" i="3"/>
  <c r="AH9" i="3"/>
  <c r="V9" i="3"/>
  <c r="J9" i="3"/>
  <c r="AT7" i="3"/>
  <c r="AH7" i="3"/>
  <c r="V7" i="3"/>
  <c r="J7" i="3"/>
  <c r="AY9" i="3"/>
  <c r="AZ13" i="3"/>
  <c r="BA17" i="3"/>
  <c r="BB9" i="3"/>
  <c r="BC13" i="3"/>
  <c r="BD17" i="3"/>
  <c r="AF3" i="3"/>
  <c r="AS17" i="3"/>
  <c r="AG17" i="3"/>
  <c r="U17" i="3"/>
  <c r="AM16" i="3"/>
  <c r="AA16" i="3"/>
  <c r="O16" i="3"/>
  <c r="AS15" i="3"/>
  <c r="AG15" i="3"/>
  <c r="U15" i="3"/>
  <c r="AS13" i="3"/>
  <c r="AG13" i="3"/>
  <c r="U13" i="3"/>
  <c r="AM12" i="3"/>
  <c r="AA12" i="3"/>
  <c r="O12" i="3"/>
  <c r="AS11" i="3"/>
  <c r="AG11" i="3"/>
  <c r="U11" i="3"/>
  <c r="AS9" i="3"/>
  <c r="AG9" i="3"/>
  <c r="U9" i="3"/>
  <c r="AS7" i="3"/>
  <c r="AG7" i="3"/>
  <c r="U7" i="3"/>
  <c r="AZ12" i="3"/>
  <c r="BA16" i="3"/>
  <c r="AW3" i="3"/>
  <c r="F5" i="2"/>
  <c r="AX3" i="3"/>
  <c r="AL3" i="3"/>
  <c r="AR3" i="3"/>
  <c r="AS3" i="3"/>
  <c r="AT3" i="3"/>
  <c r="AU3" i="3"/>
  <c r="AV3" i="3"/>
  <c r="S3" i="3"/>
  <c r="AQ3" i="3"/>
  <c r="AN3" i="3"/>
  <c r="AM3" i="3"/>
  <c r="AO3" i="3"/>
  <c r="AP3" i="3"/>
  <c r="AE3" i="3"/>
  <c r="AI3" i="3"/>
  <c r="AK3" i="3"/>
  <c r="AH3" i="3"/>
  <c r="AJ3" i="3"/>
  <c r="Y3" i="3"/>
  <c r="AG3" i="3"/>
  <c r="R3" i="3"/>
  <c r="U3" i="3"/>
  <c r="AA3" i="3"/>
  <c r="V3" i="3"/>
  <c r="AB3" i="3"/>
  <c r="O3" i="3"/>
  <c r="W3" i="3"/>
  <c r="AC3" i="3"/>
  <c r="L3" i="3"/>
  <c r="P3" i="3"/>
  <c r="X3" i="3"/>
  <c r="AD3" i="3"/>
  <c r="I3" i="3"/>
  <c r="Q3" i="3"/>
  <c r="K3" i="3"/>
  <c r="I21" i="3" l="1"/>
  <c r="I2" i="2" s="1"/>
  <c r="V21" i="3"/>
  <c r="I15" i="2" s="1"/>
  <c r="AV21" i="3"/>
  <c r="I41" i="2" s="1"/>
  <c r="AX21" i="3"/>
  <c r="I43" i="2" s="1"/>
  <c r="AB21" i="3"/>
  <c r="I21" i="2" s="1"/>
  <c r="AF21" i="3"/>
  <c r="I25" i="2" s="1"/>
  <c r="U21" i="3"/>
  <c r="I14" i="2" s="1"/>
  <c r="AH21" i="3"/>
  <c r="I27" i="2" s="1"/>
  <c r="O21" i="3"/>
  <c r="I8" i="2" s="1"/>
  <c r="AN21" i="3"/>
  <c r="I33" i="2" s="1"/>
  <c r="R21" i="3"/>
  <c r="I11" i="2" s="1"/>
  <c r="AR21" i="3"/>
  <c r="I37" i="2" s="1"/>
  <c r="AG21" i="3"/>
  <c r="I26" i="2" s="1"/>
  <c r="AT21" i="3"/>
  <c r="I39" i="2" s="1"/>
  <c r="AA21" i="3"/>
  <c r="I20" i="2" s="1"/>
  <c r="AD21" i="3"/>
  <c r="I23" i="2" s="1"/>
  <c r="AS21" i="3"/>
  <c r="I38" i="2" s="1"/>
  <c r="AM21" i="3"/>
  <c r="I32" i="2" s="1"/>
  <c r="AP21" i="3"/>
  <c r="I35" i="2" s="1"/>
  <c r="AE21" i="3"/>
  <c r="I24" i="2" s="1"/>
  <c r="Q21" i="3"/>
  <c r="I10" i="2" s="1"/>
  <c r="AZ21" i="3"/>
  <c r="I45" i="2" s="1"/>
  <c r="K21" i="3"/>
  <c r="I4" i="2" s="1"/>
  <c r="AC21" i="3"/>
  <c r="I22" i="2" s="1"/>
  <c r="AQ21" i="3"/>
  <c r="I36" i="2" s="1"/>
  <c r="W21" i="3"/>
  <c r="I16" i="2" s="1"/>
  <c r="AO21" i="3"/>
  <c r="I34" i="2" s="1"/>
  <c r="AI21" i="3"/>
  <c r="I28" i="2" s="1"/>
  <c r="M21" i="3"/>
  <c r="I6" i="2" s="1"/>
  <c r="AU21" i="3"/>
  <c r="I40" i="2" s="1"/>
  <c r="L21" i="3"/>
  <c r="I5" i="2" s="1"/>
  <c r="Y21" i="3"/>
  <c r="I18" i="2" s="1"/>
  <c r="N21" i="3"/>
  <c r="I7" i="2" s="1"/>
  <c r="X21" i="3"/>
  <c r="I17" i="2" s="1"/>
  <c r="AK21" i="3"/>
  <c r="I30" i="2" s="1"/>
  <c r="Z21" i="3"/>
  <c r="I19" i="2" s="1"/>
  <c r="J21" i="3"/>
  <c r="I3" i="2" s="1"/>
  <c r="AJ21" i="3"/>
  <c r="I29" i="2" s="1"/>
  <c r="AW21" i="3"/>
  <c r="I42" i="2" s="1"/>
  <c r="AL21" i="3"/>
  <c r="I31" i="2" s="1"/>
  <c r="P21" i="3"/>
  <c r="I9" i="2" s="1"/>
  <c r="T21" i="3"/>
  <c r="I13" i="2" s="1"/>
  <c r="S21" i="3"/>
  <c r="I12" i="2" s="1"/>
  <c r="BD21" i="3"/>
  <c r="I49" i="2" s="1"/>
  <c r="BA21" i="3"/>
  <c r="I46" i="2" s="1"/>
  <c r="BB21" i="3"/>
  <c r="I47" i="2" s="1"/>
  <c r="AY21" i="3"/>
  <c r="I44" i="2" s="1"/>
  <c r="BC21" i="3"/>
  <c r="I48" i="2" s="1"/>
  <c r="F2" i="2" l="1"/>
</calcChain>
</file>

<file path=xl/sharedStrings.xml><?xml version="1.0" encoding="utf-8"?>
<sst xmlns="http://schemas.openxmlformats.org/spreadsheetml/2006/main" count="187" uniqueCount="117">
  <si>
    <t>Job Rejections and Job Applicant System</t>
  </si>
  <si>
    <t>Company</t>
  </si>
  <si>
    <t>System</t>
  </si>
  <si>
    <t>Return Address</t>
  </si>
  <si>
    <t>Denial Text</t>
  </si>
  <si>
    <t>Judi Health/Capital Rx</t>
  </si>
  <si>
    <t>no-reply@us.greenhouse-mail.io</t>
  </si>
  <si>
    <t>After reviewing your resume, we have decided to pursue other candidates that are more aligned with the qualifications of the position. </t>
  </si>
  <si>
    <t>do-not-reply@mail.paylocity.com</t>
  </si>
  <si>
    <t>Return Address Name</t>
  </si>
  <si>
    <t>After careful consideration, we have identified candidates that are a closer match to our needs.</t>
  </si>
  <si>
    <t>PAYLOCITY CORPORATION</t>
  </si>
  <si>
    <t>Paylocity</t>
  </si>
  <si>
    <t>Subject Line</t>
  </si>
  <si>
    <t>Judi Health/Capital Rx | Update</t>
  </si>
  <si>
    <t>Thank you for your interest in Paylocity!</t>
  </si>
  <si>
    <t>XXXX.icims.com</t>
  </si>
  <si>
    <t>ICIMS</t>
  </si>
  <si>
    <t>Personify Health</t>
  </si>
  <si>
    <t>[First Name] [Last Name]</t>
  </si>
  <si>
    <t>Thank You for Applying</t>
  </si>
  <si>
    <t>Thank You For Your Interest!</t>
  </si>
  <si>
    <t>Workday@OneDigitial</t>
  </si>
  <si>
    <t>Workday</t>
  </si>
  <si>
    <t>Impiricus</t>
  </si>
  <si>
    <t>Thank you for your interest in Impiricus</t>
  </si>
  <si>
    <t>Thank You from Navitus Health Solutions, LLC</t>
  </si>
  <si>
    <t>navitus+email+7cgu-2b393f9b3b@talent.icims.com</t>
  </si>
  <si>
    <t>After careful review of your application, we've decided that we will not move you forward in the hiring process.</t>
  </si>
  <si>
    <t>Navitus Health Solutions, LLC</t>
  </si>
  <si>
    <t>Do Not Reply</t>
  </si>
  <si>
    <t>TechnologyAdvice</t>
  </si>
  <si>
    <t>Update on your Application Status</t>
  </si>
  <si>
    <t>After careful consideration, we have decided to move forward with other candidates at this time.</t>
  </si>
  <si>
    <t>After careful review, we’ve decided to move forward with other candidates whose experience more closely aligns with our current needs.</t>
  </si>
  <si>
    <t>OneDigital</t>
  </si>
  <si>
    <t>[…] we’ve decided to move forward with other applicants that better meet the core requirements of this role.</t>
  </si>
  <si>
    <t>ATS Software</t>
  </si>
  <si>
    <t>Number of Rejections</t>
  </si>
  <si>
    <r>
      <t xml:space="preserve">Form of </t>
    </r>
    <r>
      <rPr>
        <i/>
        <sz val="11"/>
        <color theme="1"/>
        <rFont val="Aptos Narrow"/>
        <family val="2"/>
        <scheme val="minor"/>
      </rPr>
      <t>align</t>
    </r>
  </si>
  <si>
    <t>Move</t>
  </si>
  <si>
    <t>Closer match</t>
  </si>
  <si>
    <t>availity@myworkday.com</t>
  </si>
  <si>
    <t>Workday@onedigital.com</t>
  </si>
  <si>
    <t>AvailityLife</t>
  </si>
  <si>
    <t>We had several qualified candidates apply for the position and have decided to move forward with other candidates.</t>
  </si>
  <si>
    <t>Client Services Technical Support Specialist I (Remote) position at Availity</t>
  </si>
  <si>
    <t>Update on your application for Benefits Configuration Analyst with SmithRx</t>
  </si>
  <si>
    <t>SmithRx</t>
  </si>
  <si>
    <t>After careful review, we have decided to move forward with other candidates whose experience and qualifications more closely align with the needs of this role.</t>
  </si>
  <si>
    <t>no-reply@smithrx.com</t>
  </si>
  <si>
    <t>Workday - AvailityLife</t>
  </si>
  <si>
    <t>"ALIGN"</t>
  </si>
  <si>
    <t>"MOVE"</t>
  </si>
  <si>
    <t>CLOSER MATCH</t>
  </si>
  <si>
    <t>Totals of All Systems</t>
  </si>
  <si>
    <t>Phrase</t>
  </si>
  <si>
    <t>Count</t>
  </si>
  <si>
    <t>Count by Software</t>
  </si>
  <si>
    <t>Greenhouse</t>
  </si>
  <si>
    <t>Align</t>
  </si>
  <si>
    <t>Move Forward</t>
  </si>
  <si>
    <t>Closer Match</t>
  </si>
  <si>
    <t>better meet</t>
  </si>
  <si>
    <t>BETTER MEET</t>
  </si>
  <si>
    <t>Better Meet</t>
  </si>
  <si>
    <t>no-reply@ashbyhq.com</t>
  </si>
  <si>
    <t>MeridianLink Hiring Team </t>
  </si>
  <si>
    <t>We regret to inform you that this position has been filled. </t>
  </si>
  <si>
    <t>Thanks for your interest in MeridianLink, Shawn</t>
  </si>
  <si>
    <t>Filled</t>
  </si>
  <si>
    <t>FILLED</t>
  </si>
  <si>
    <t>MeridianLink</t>
  </si>
  <si>
    <t>Ashby</t>
  </si>
  <si>
    <t>Your Crowe Application Status - HCM Payroll Business and Systems Implementation Analyst</t>
  </si>
  <si>
    <t>Workday @ Crowe (Do Not Reply)</t>
  </si>
  <si>
    <t>Crowe</t>
  </si>
  <si>
    <t>[…] we have decided to pursue other candidates at this time.</t>
  </si>
  <si>
    <t>recruiting+408705047-55cd7103@applytojob.com</t>
  </si>
  <si>
    <t>Procare HR </t>
  </si>
  <si>
    <t>Procare</t>
  </si>
  <si>
    <t>JazzHr</t>
  </si>
  <si>
    <t>Application Status Update: EDI Benefits Analyst</t>
  </si>
  <si>
    <t>After careful review of your background and experience, we will not be moving forward with your application at this time.</t>
  </si>
  <si>
    <t>Aflac - Job Applicant Update</t>
  </si>
  <si>
    <t>AflacHR@aflac.com</t>
  </si>
  <si>
    <t>workday@workday.crowe.com</t>
  </si>
  <si>
    <t>After careful consideration of your application, we have decided to pursue other candidates.</t>
  </si>
  <si>
    <t>Aflac HR</t>
  </si>
  <si>
    <t>SAP Success Factors</t>
  </si>
  <si>
    <t>AFLAC</t>
  </si>
  <si>
    <t>pursue other </t>
  </si>
  <si>
    <t>PURSUE OTHER</t>
  </si>
  <si>
    <t>Pursue Other</t>
  </si>
  <si>
    <t>Alight</t>
  </si>
  <si>
    <t>Alight Workday</t>
  </si>
  <si>
    <t>Application Status</t>
  </si>
  <si>
    <t>After careful review, we regret to inform you that we have chosen to pursue other candidates whose skills, background, and education more closely align with the qualifications of the role.</t>
  </si>
  <si>
    <t>Aria Care Partners</t>
  </si>
  <si>
    <t>Aria Care Partners </t>
  </si>
  <si>
    <t>Your Application to Aria Care Partners</t>
  </si>
  <si>
    <t>We carefully reviewed a number of applications, and, though your resume was impressive, we have decided to move forward with a candidate whose qualifications are better suited to this particular role.</t>
  </si>
  <si>
    <t>Application Status Update</t>
  </si>
  <si>
    <t>Veralto</t>
  </si>
  <si>
    <t>We decided to move forward with other candidates, but we thank you for giving us the opportunity to learn about your skills and accomplishments.</t>
  </si>
  <si>
    <t>Thank you for applying to Rippling - Implementation Specialist, Platform</t>
  </si>
  <si>
    <t>While we were impressed with your qualifications, we have decided to move forward with other candidates at this time.</t>
  </si>
  <si>
    <t>Rippling</t>
  </si>
  <si>
    <t>filled</t>
  </si>
  <si>
    <t>veralto@myworkday.com</t>
  </si>
  <si>
    <t>alight@myworkday.com</t>
  </si>
  <si>
    <t>no-reply@ats.rippling.com</t>
  </si>
  <si>
    <r>
      <t>At this time, </t>
    </r>
    <r>
      <rPr>
        <i/>
        <sz val="10"/>
        <rFont val="Arial"/>
        <family val="2"/>
      </rPr>
      <t>the position has been filled</t>
    </r>
    <r>
      <rPr>
        <sz val="10"/>
        <rFont val="Arial"/>
        <family val="2"/>
      </rPr>
      <t>.</t>
    </r>
  </si>
  <si>
    <r>
      <t>Rippling</t>
    </r>
    <r>
      <rPr>
        <sz val="10"/>
        <color rgb="FF5F6368"/>
        <rFont val="Arial"/>
        <family val="2"/>
      </rPr>
      <t> </t>
    </r>
  </si>
  <si>
    <r>
      <t>Veralto HR</t>
    </r>
    <r>
      <rPr>
        <sz val="10"/>
        <color rgb="FF5F6368"/>
        <rFont val="Arial"/>
        <family val="2"/>
      </rPr>
      <t> </t>
    </r>
  </si>
  <si>
    <t>System ID</t>
  </si>
  <si>
    <t>TERM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</si>
</sst>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name val="Aptos Display"/>
      <family val="2"/>
      <scheme val="major"/>
    </font>
    <font>
      <i/>
      <sz val="11"/>
      <color theme="1"/>
      <name val="Aptos Narrow"/>
      <family val="2"/>
      <scheme val="minor"/>
    </font>
    <font>
      <sz val="11"/>
      <name val="Aptos Display"/>
      <family val="2"/>
      <scheme val="maj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  <font>
      <sz val="10"/>
      <color rgb="FF1F1F1F"/>
      <name val="Arial"/>
      <family val="2"/>
    </font>
    <font>
      <i/>
      <sz val="10"/>
      <name val="Arial"/>
      <family val="2"/>
    </font>
    <font>
      <sz val="10"/>
      <color rgb="FF5F6368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7FCFF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4">
    <xf numFmtId="0" fontId="0" fillId="0" borderId="0" xfId="0"/>
    <xf numFmtId="0" fontId="2" fillId="3" borderId="0" xfId="0" applyFont="1" applyFill="1"/>
    <xf numFmtId="0" fontId="0" fillId="0" borderId="0" xfId="0" applyFont="1"/>
    <xf numFmtId="0" fontId="4" fillId="0" borderId="0" xfId="0" applyFont="1" applyFill="1" applyAlignment="1">
      <alignment vertical="center"/>
    </xf>
    <xf numFmtId="0" fontId="5" fillId="0" borderId="0" xfId="0" applyFont="1"/>
    <xf numFmtId="0" fontId="1" fillId="4" borderId="0" xfId="0" applyFont="1" applyFill="1"/>
    <xf numFmtId="0" fontId="0" fillId="0" borderId="0" xfId="0" applyAlignment="1">
      <alignment horizontal="center"/>
    </xf>
    <xf numFmtId="0" fontId="1" fillId="5" borderId="0" xfId="0" applyFont="1" applyFill="1"/>
    <xf numFmtId="0" fontId="0" fillId="5" borderId="0" xfId="0" applyFill="1"/>
    <xf numFmtId="0" fontId="2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7" borderId="0" xfId="0" applyFill="1"/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2" fillId="0" borderId="0" xfId="0" applyFont="1" applyAlignment="1">
      <alignment horizontal="center"/>
    </xf>
    <xf numFmtId="0" fontId="6" fillId="0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8" borderId="0" xfId="0" applyFont="1" applyFill="1"/>
    <xf numFmtId="0" fontId="0" fillId="8" borderId="0" xfId="0" applyFill="1"/>
    <xf numFmtId="0" fontId="2" fillId="8" borderId="0" xfId="0" applyFont="1" applyFill="1" applyAlignment="1">
      <alignment horizontal="center"/>
    </xf>
    <xf numFmtId="0" fontId="7" fillId="2" borderId="0" xfId="0" applyFont="1" applyFill="1" applyAlignment="1" applyProtection="1"/>
    <xf numFmtId="0" fontId="7" fillId="2" borderId="0" xfId="0" applyFont="1" applyFill="1" applyAlignment="1" applyProtection="1">
      <alignment horizontal="center"/>
    </xf>
    <xf numFmtId="0" fontId="16" fillId="3" borderId="0" xfId="0" applyFont="1" applyFill="1" applyAlignment="1" applyProtection="1"/>
    <xf numFmtId="0" fontId="16" fillId="3" borderId="0" xfId="0" applyFont="1" applyFill="1" applyAlignment="1" applyProtection="1">
      <alignment horizontal="center"/>
    </xf>
    <xf numFmtId="0" fontId="9" fillId="0" borderId="0" xfId="0" applyFont="1" applyFill="1" applyAlignment="1" applyProtection="1">
      <alignment vertical="center"/>
    </xf>
    <xf numFmtId="0" fontId="9" fillId="0" borderId="0" xfId="0" applyFont="1" applyFill="1" applyAlignment="1" applyProtection="1">
      <alignment horizontal="center" vertical="center"/>
    </xf>
    <xf numFmtId="0" fontId="8" fillId="0" borderId="0" xfId="0" applyFont="1" applyFill="1" applyProtection="1"/>
    <xf numFmtId="0" fontId="11" fillId="0" borderId="0" xfId="0" applyFont="1" applyAlignment="1" applyProtection="1"/>
    <xf numFmtId="0" fontId="8" fillId="0" borderId="0" xfId="0" applyFont="1" applyAlignment="1" applyProtection="1"/>
    <xf numFmtId="0" fontId="10" fillId="0" borderId="0" xfId="0" applyFont="1" applyAlignment="1" applyProtection="1"/>
    <xf numFmtId="0" fontId="9" fillId="0" borderId="0" xfId="0" applyFont="1" applyFill="1" applyAlignment="1" applyProtection="1"/>
    <xf numFmtId="0" fontId="8" fillId="0" borderId="0" xfId="0" applyFont="1" applyFill="1" applyAlignment="1" applyProtection="1"/>
    <xf numFmtId="0" fontId="11" fillId="0" borderId="0" xfId="0" applyFont="1" applyAlignment="1" applyProtection="1">
      <alignment horizontal="left" vertical="center"/>
    </xf>
    <xf numFmtId="0" fontId="8" fillId="0" borderId="0" xfId="0" applyFont="1" applyAlignment="1" applyProtection="1">
      <alignment horizontal="center"/>
    </xf>
    <xf numFmtId="0" fontId="11" fillId="0" borderId="0" xfId="0" applyFont="1" applyFill="1" applyAlignment="1" applyProtection="1">
      <alignment vertical="center"/>
    </xf>
    <xf numFmtId="0" fontId="11" fillId="0" borderId="0" xfId="0" applyFont="1" applyFill="1" applyAlignment="1" applyProtection="1">
      <alignment horizontal="center" vertical="center"/>
    </xf>
    <xf numFmtId="0" fontId="0" fillId="0" borderId="0" xfId="0" applyFill="1" applyProtection="1"/>
    <xf numFmtId="0" fontId="11" fillId="0" borderId="0" xfId="0" applyFont="1" applyFill="1" applyAlignment="1" applyProtection="1"/>
    <xf numFmtId="0" fontId="15" fillId="0" borderId="0" xfId="0" applyFont="1" applyFill="1" applyAlignment="1" applyProtection="1"/>
    <xf numFmtId="0" fontId="14" fillId="0" borderId="0" xfId="1" applyFont="1" applyAlignment="1" applyProtection="1"/>
    <xf numFmtId="0" fontId="14" fillId="0" borderId="0" xfId="1" applyFont="1" applyAlignment="1" applyProtection="1">
      <alignment horizontal="center"/>
    </xf>
    <xf numFmtId="0" fontId="11" fillId="0" borderId="0" xfId="0" applyFont="1" applyAlignment="1" applyProtection="1">
      <alignment horizontal="center"/>
    </xf>
    <xf numFmtId="0" fontId="9" fillId="0" borderId="0" xfId="0" applyFont="1" applyFill="1" applyAlignment="1" applyProtection="1">
      <alignment horizontal="center"/>
    </xf>
    <xf numFmtId="0" fontId="10" fillId="0" borderId="0" xfId="0" applyFont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ECFF"/>
      <color rgb="FFF7F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2A88-B8B9-418C-912E-919C443297CD}">
  <dimension ref="A1:G31"/>
  <sheetViews>
    <sheetView topLeftCell="B1" workbookViewId="0">
      <selection activeCell="G17" sqref="G17"/>
    </sheetView>
  </sheetViews>
  <sheetFormatPr defaultRowHeight="13.2" x14ac:dyDescent="0.25"/>
  <cols>
    <col min="1" max="1" width="46.5546875" style="38" hidden="1" customWidth="1"/>
    <col min="2" max="2" width="19.33203125" style="38" bestFit="1" customWidth="1"/>
    <col min="3" max="3" width="19.33203125" style="43" hidden="1" customWidth="1"/>
    <col min="4" max="4" width="29.77734375" style="38" hidden="1" customWidth="1"/>
    <col min="5" max="5" width="43" style="38" hidden="1" customWidth="1"/>
    <col min="6" max="6" width="78.44140625" style="38" hidden="1" customWidth="1"/>
    <col min="7" max="7" width="167.6640625" style="38" bestFit="1" customWidth="1"/>
    <col min="8" max="16384" width="8.88671875" style="38"/>
  </cols>
  <sheetData>
    <row r="1" spans="1:7" s="30" customFormat="1" ht="15.6" x14ac:dyDescent="0.3">
      <c r="B1" s="30" t="s">
        <v>0</v>
      </c>
      <c r="C1" s="31"/>
    </row>
    <row r="3" spans="1:7" s="32" customFormat="1" ht="13.8" x14ac:dyDescent="0.25">
      <c r="A3" s="32" t="s">
        <v>1</v>
      </c>
      <c r="B3" s="32" t="s">
        <v>2</v>
      </c>
      <c r="C3" s="33" t="s">
        <v>115</v>
      </c>
      <c r="D3" s="32" t="s">
        <v>9</v>
      </c>
      <c r="E3" s="32" t="s">
        <v>3</v>
      </c>
      <c r="F3" s="32" t="s">
        <v>13</v>
      </c>
      <c r="G3" s="32" t="s">
        <v>4</v>
      </c>
    </row>
    <row r="4" spans="1:7" s="34" customFormat="1" x14ac:dyDescent="0.25">
      <c r="A4" s="34" t="s">
        <v>24</v>
      </c>
      <c r="B4" s="34" t="s">
        <v>59</v>
      </c>
      <c r="C4" s="35">
        <v>1</v>
      </c>
      <c r="D4" s="36" t="s">
        <v>6</v>
      </c>
      <c r="E4" s="36" t="s">
        <v>6</v>
      </c>
      <c r="F4" s="34" t="s">
        <v>25</v>
      </c>
      <c r="G4" s="34" t="s">
        <v>34</v>
      </c>
    </row>
    <row r="5" spans="1:7" s="34" customFormat="1" ht="14.4" customHeight="1" x14ac:dyDescent="0.25">
      <c r="A5" s="34" t="s">
        <v>5</v>
      </c>
      <c r="B5" s="34" t="s">
        <v>59</v>
      </c>
      <c r="C5" s="35">
        <v>1</v>
      </c>
      <c r="D5" s="36" t="s">
        <v>6</v>
      </c>
      <c r="E5" s="36" t="s">
        <v>6</v>
      </c>
      <c r="F5" s="34" t="s">
        <v>14</v>
      </c>
      <c r="G5" s="34" t="s">
        <v>7</v>
      </c>
    </row>
    <row r="6" spans="1:7" s="34" customFormat="1" ht="14.4" customHeight="1" x14ac:dyDescent="0.25">
      <c r="A6" s="37" t="s">
        <v>48</v>
      </c>
      <c r="B6" s="34" t="s">
        <v>59</v>
      </c>
      <c r="C6" s="35">
        <v>1</v>
      </c>
      <c r="D6" s="38" t="s">
        <v>50</v>
      </c>
      <c r="E6" s="38" t="s">
        <v>50</v>
      </c>
      <c r="F6" s="38" t="s">
        <v>47</v>
      </c>
      <c r="G6" s="39" t="s">
        <v>49</v>
      </c>
    </row>
    <row r="7" spans="1:7" s="34" customFormat="1" x14ac:dyDescent="0.25">
      <c r="A7" s="40" t="s">
        <v>31</v>
      </c>
      <c r="B7" s="34" t="s">
        <v>59</v>
      </c>
      <c r="C7" s="35">
        <v>1</v>
      </c>
      <c r="D7" s="36" t="s">
        <v>6</v>
      </c>
      <c r="E7" s="36" t="s">
        <v>6</v>
      </c>
      <c r="F7" s="34" t="s">
        <v>32</v>
      </c>
      <c r="G7" s="40" t="s">
        <v>33</v>
      </c>
    </row>
    <row r="8" spans="1:7" s="34" customFormat="1" ht="15.6" customHeight="1" x14ac:dyDescent="0.25">
      <c r="A8" s="34" t="s">
        <v>29</v>
      </c>
      <c r="B8" s="34" t="s">
        <v>17</v>
      </c>
      <c r="C8" s="35">
        <v>2</v>
      </c>
      <c r="D8" s="34" t="s">
        <v>30</v>
      </c>
      <c r="E8" s="36" t="s">
        <v>27</v>
      </c>
      <c r="F8" s="34" t="s">
        <v>26</v>
      </c>
      <c r="G8" s="34" t="s">
        <v>28</v>
      </c>
    </row>
    <row r="9" spans="1:7" s="34" customFormat="1" x14ac:dyDescent="0.3">
      <c r="A9" s="34" t="s">
        <v>18</v>
      </c>
      <c r="B9" s="34" t="s">
        <v>17</v>
      </c>
      <c r="C9" s="35">
        <v>2</v>
      </c>
      <c r="D9" s="34" t="s">
        <v>19</v>
      </c>
      <c r="E9" s="34" t="s">
        <v>16</v>
      </c>
      <c r="F9" s="34" t="s">
        <v>21</v>
      </c>
      <c r="G9" s="34" t="s">
        <v>112</v>
      </c>
    </row>
    <row r="10" spans="1:7" s="40" customFormat="1" x14ac:dyDescent="0.25">
      <c r="A10" s="38" t="s">
        <v>44</v>
      </c>
      <c r="B10" s="34" t="s">
        <v>23</v>
      </c>
      <c r="C10" s="35">
        <v>3</v>
      </c>
      <c r="D10" s="38" t="s">
        <v>51</v>
      </c>
      <c r="E10" s="36" t="s">
        <v>42</v>
      </c>
      <c r="F10" s="37" t="s">
        <v>46</v>
      </c>
      <c r="G10" s="38" t="s">
        <v>45</v>
      </c>
    </row>
    <row r="11" spans="1:7" x14ac:dyDescent="0.25">
      <c r="A11" s="38" t="s">
        <v>76</v>
      </c>
      <c r="B11" s="34" t="s">
        <v>23</v>
      </c>
      <c r="C11" s="35">
        <v>3</v>
      </c>
      <c r="D11" s="41" t="s">
        <v>75</v>
      </c>
      <c r="E11" s="36" t="s">
        <v>86</v>
      </c>
      <c r="F11" s="38" t="s">
        <v>74</v>
      </c>
      <c r="G11" s="38" t="s">
        <v>77</v>
      </c>
    </row>
    <row r="12" spans="1:7" x14ac:dyDescent="0.25">
      <c r="A12" s="34" t="s">
        <v>35</v>
      </c>
      <c r="B12" s="34" t="s">
        <v>23</v>
      </c>
      <c r="C12" s="35">
        <v>3</v>
      </c>
      <c r="D12" s="34" t="s">
        <v>22</v>
      </c>
      <c r="E12" s="36" t="s">
        <v>43</v>
      </c>
      <c r="F12" s="34" t="s">
        <v>20</v>
      </c>
      <c r="G12" s="34" t="s">
        <v>36</v>
      </c>
    </row>
    <row r="13" spans="1:7" x14ac:dyDescent="0.25">
      <c r="A13" s="38" t="s">
        <v>103</v>
      </c>
      <c r="B13" s="34" t="s">
        <v>23</v>
      </c>
      <c r="C13" s="35">
        <v>3</v>
      </c>
      <c r="D13" s="42" t="s">
        <v>114</v>
      </c>
      <c r="E13" s="36" t="s">
        <v>109</v>
      </c>
      <c r="F13" s="38" t="s">
        <v>102</v>
      </c>
      <c r="G13" s="39" t="s">
        <v>104</v>
      </c>
    </row>
    <row r="14" spans="1:7" s="41" customFormat="1" x14ac:dyDescent="0.25">
      <c r="A14" s="38" t="s">
        <v>94</v>
      </c>
      <c r="B14" s="34" t="s">
        <v>23</v>
      </c>
      <c r="C14" s="35">
        <v>3</v>
      </c>
      <c r="D14" s="42" t="s">
        <v>95</v>
      </c>
      <c r="E14" s="36" t="s">
        <v>110</v>
      </c>
      <c r="F14" s="37" t="s">
        <v>96</v>
      </c>
      <c r="G14" s="39" t="s">
        <v>97</v>
      </c>
    </row>
    <row r="15" spans="1:7" x14ac:dyDescent="0.25">
      <c r="A15" s="38" t="s">
        <v>98</v>
      </c>
      <c r="B15" s="34" t="s">
        <v>12</v>
      </c>
      <c r="C15" s="35">
        <v>4</v>
      </c>
      <c r="D15" s="41" t="s">
        <v>99</v>
      </c>
      <c r="E15" s="34" t="s">
        <v>8</v>
      </c>
      <c r="F15" s="38" t="s">
        <v>100</v>
      </c>
      <c r="G15" s="39" t="s">
        <v>101</v>
      </c>
    </row>
    <row r="16" spans="1:7" ht="16.8" customHeight="1" x14ac:dyDescent="0.25">
      <c r="A16" s="34" t="s">
        <v>11</v>
      </c>
      <c r="B16" s="34" t="s">
        <v>12</v>
      </c>
      <c r="C16" s="35">
        <v>4</v>
      </c>
      <c r="D16" s="34" t="s">
        <v>11</v>
      </c>
      <c r="E16" s="34" t="s">
        <v>8</v>
      </c>
      <c r="F16" s="34" t="s">
        <v>15</v>
      </c>
      <c r="G16" s="34" t="s">
        <v>10</v>
      </c>
    </row>
    <row r="17" spans="1:7" ht="14.4" customHeight="1" x14ac:dyDescent="0.25">
      <c r="A17" s="38" t="s">
        <v>72</v>
      </c>
      <c r="B17" s="34" t="s">
        <v>73</v>
      </c>
      <c r="C17" s="35">
        <v>5</v>
      </c>
      <c r="D17" s="38" t="s">
        <v>67</v>
      </c>
      <c r="E17" s="38" t="s">
        <v>66</v>
      </c>
      <c r="F17" s="38" t="s">
        <v>69</v>
      </c>
      <c r="G17" s="39" t="s">
        <v>68</v>
      </c>
    </row>
    <row r="18" spans="1:7" x14ac:dyDescent="0.25">
      <c r="A18" s="39" t="s">
        <v>80</v>
      </c>
      <c r="B18" s="38" t="s">
        <v>81</v>
      </c>
      <c r="C18" s="43">
        <v>6</v>
      </c>
      <c r="D18" s="38" t="s">
        <v>79</v>
      </c>
      <c r="E18" s="36" t="s">
        <v>78</v>
      </c>
      <c r="F18" s="38" t="s">
        <v>82</v>
      </c>
      <c r="G18" s="39" t="s">
        <v>83</v>
      </c>
    </row>
    <row r="19" spans="1:7" x14ac:dyDescent="0.25">
      <c r="A19" s="38" t="s">
        <v>90</v>
      </c>
      <c r="B19" s="34" t="s">
        <v>89</v>
      </c>
      <c r="C19" s="35">
        <v>7</v>
      </c>
      <c r="D19" s="44" t="s">
        <v>88</v>
      </c>
      <c r="E19" s="36" t="s">
        <v>85</v>
      </c>
      <c r="F19" s="37" t="s">
        <v>84</v>
      </c>
      <c r="G19" s="39" t="s">
        <v>87</v>
      </c>
    </row>
    <row r="20" spans="1:7" ht="16.8" customHeight="1" x14ac:dyDescent="0.3">
      <c r="A20" s="44" t="s">
        <v>107</v>
      </c>
      <c r="B20" s="44" t="s">
        <v>107</v>
      </c>
      <c r="C20" s="45">
        <v>8</v>
      </c>
      <c r="D20" s="44" t="s">
        <v>113</v>
      </c>
      <c r="E20" s="46" t="s">
        <v>111</v>
      </c>
      <c r="F20" s="47" t="s">
        <v>105</v>
      </c>
      <c r="G20" s="48" t="s">
        <v>106</v>
      </c>
    </row>
    <row r="21" spans="1:7" x14ac:dyDescent="0.25">
      <c r="B21" s="49"/>
      <c r="C21" s="50"/>
    </row>
    <row r="22" spans="1:7" x14ac:dyDescent="0.25">
      <c r="B22" s="37"/>
      <c r="C22" s="51"/>
    </row>
    <row r="23" spans="1:7" x14ac:dyDescent="0.25">
      <c r="B23" s="34"/>
      <c r="C23" s="35"/>
    </row>
    <row r="24" spans="1:7" x14ac:dyDescent="0.25">
      <c r="B24" s="34"/>
      <c r="C24" s="35"/>
    </row>
    <row r="25" spans="1:7" x14ac:dyDescent="0.25">
      <c r="B25" s="40"/>
      <c r="C25" s="52"/>
    </row>
    <row r="26" spans="1:7" x14ac:dyDescent="0.25">
      <c r="B26" s="34"/>
      <c r="C26" s="35"/>
    </row>
    <row r="27" spans="1:7" x14ac:dyDescent="0.25">
      <c r="B27" s="34"/>
      <c r="C27" s="35"/>
    </row>
    <row r="28" spans="1:7" x14ac:dyDescent="0.25">
      <c r="B28" s="39"/>
      <c r="C28" s="53"/>
    </row>
    <row r="29" spans="1:7" x14ac:dyDescent="0.25">
      <c r="B29" s="34"/>
      <c r="C29" s="35"/>
    </row>
    <row r="31" spans="1:7" x14ac:dyDescent="0.25">
      <c r="B31" s="34"/>
      <c r="C31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EA93-7CB9-491F-B6BD-AB11D39014A5}">
  <dimension ref="A1:I49"/>
  <sheetViews>
    <sheetView workbookViewId="0">
      <selection activeCell="E22" sqref="E22"/>
    </sheetView>
  </sheetViews>
  <sheetFormatPr defaultRowHeight="14.4" x14ac:dyDescent="0.3"/>
  <cols>
    <col min="1" max="1" width="14.88671875" customWidth="1"/>
    <col min="2" max="2" width="14.88671875" hidden="1" customWidth="1"/>
    <col min="3" max="3" width="23.6640625" customWidth="1"/>
    <col min="4" max="4" width="0.6640625" style="8" customWidth="1"/>
    <col min="5" max="5" width="26.44140625" customWidth="1"/>
    <col min="7" max="7" width="0.6640625" style="8" customWidth="1"/>
    <col min="8" max="8" width="30.109375" customWidth="1"/>
    <col min="9" max="9" width="8.88671875" style="6"/>
  </cols>
  <sheetData>
    <row r="1" spans="1:9" s="5" customFormat="1" x14ac:dyDescent="0.3">
      <c r="A1" s="5" t="s">
        <v>37</v>
      </c>
      <c r="B1" s="5" t="s">
        <v>115</v>
      </c>
      <c r="C1" s="5" t="s">
        <v>38</v>
      </c>
      <c r="D1" s="7"/>
      <c r="E1" s="5" t="s">
        <v>56</v>
      </c>
      <c r="F1" s="5" t="s">
        <v>57</v>
      </c>
      <c r="G1" s="7"/>
      <c r="H1" s="5" t="s">
        <v>58</v>
      </c>
      <c r="I1" s="10"/>
    </row>
    <row r="2" spans="1:9" ht="15.6" x14ac:dyDescent="0.3">
      <c r="A2" s="20" t="str">
        <f>'Raw Rejection Data'!B4</f>
        <v>Greenhouse</v>
      </c>
      <c r="B2" s="22">
        <f>'Raw Rejection Data'!C4</f>
        <v>1</v>
      </c>
      <c r="C2" s="6">
        <f>COUNTIF('Raw Rejection Data'!B:B,A2)</f>
        <v>4</v>
      </c>
      <c r="E2" t="s">
        <v>39</v>
      </c>
      <c r="F2" s="6">
        <f>'Derived Rejection Data'!B21</f>
        <v>4</v>
      </c>
      <c r="H2" s="3" t="str">
        <f>CONCATENATE($A2," + ",$E$2)</f>
        <v>Greenhouse + Form of align</v>
      </c>
      <c r="I2" s="6">
        <f>'Derived Rejection Data'!I$21</f>
        <v>3</v>
      </c>
    </row>
    <row r="3" spans="1:9" ht="15.6" x14ac:dyDescent="0.3">
      <c r="A3" s="20" t="str">
        <f>'Raw Rejection Data'!B8</f>
        <v>ICIMS</v>
      </c>
      <c r="B3" s="22">
        <f>'Raw Rejection Data'!C8</f>
        <v>2</v>
      </c>
      <c r="C3" s="6">
        <f>COUNTIF('Raw Rejection Data'!B:B,A3)</f>
        <v>2</v>
      </c>
      <c r="E3" s="4" t="s">
        <v>40</v>
      </c>
      <c r="F3" s="6">
        <f>'Derived Rejection Data'!C21</f>
        <v>10</v>
      </c>
      <c r="H3" s="3" t="str">
        <f>CONCATENATE($A2," + ",$E$3)</f>
        <v>Greenhouse + Move</v>
      </c>
      <c r="I3" s="6">
        <f>'Derived Rejection Data'!J$21</f>
        <v>3</v>
      </c>
    </row>
    <row r="4" spans="1:9" ht="15.6" x14ac:dyDescent="0.3">
      <c r="A4" s="20" t="str">
        <f>'Raw Rejection Data'!B10</f>
        <v>Workday</v>
      </c>
      <c r="B4" s="22">
        <f>'Raw Rejection Data'!C10</f>
        <v>3</v>
      </c>
      <c r="C4" s="6">
        <f>COUNTIF('Raw Rejection Data'!B:B,A4)</f>
        <v>5</v>
      </c>
      <c r="E4" s="4" t="s">
        <v>41</v>
      </c>
      <c r="F4" s="6">
        <f>'Derived Rejection Data'!D21</f>
        <v>1</v>
      </c>
      <c r="H4" s="3" t="str">
        <f>CONCATENATE($A2," + ",$E$4)</f>
        <v>Greenhouse + Closer match</v>
      </c>
      <c r="I4" s="6">
        <f>'Derived Rejection Data'!K$21</f>
        <v>0</v>
      </c>
    </row>
    <row r="5" spans="1:9" ht="15.6" x14ac:dyDescent="0.3">
      <c r="A5" s="20" t="str">
        <f>'Raw Rejection Data'!B15</f>
        <v>Paylocity</v>
      </c>
      <c r="B5" s="22">
        <f>'Raw Rejection Data'!C15</f>
        <v>4</v>
      </c>
      <c r="C5" s="6">
        <f>COUNTIF('Raw Rejection Data'!B:B,A5)</f>
        <v>2</v>
      </c>
      <c r="E5" s="4" t="s">
        <v>63</v>
      </c>
      <c r="F5" s="6">
        <f>'Derived Rejection Data'!E21</f>
        <v>1</v>
      </c>
      <c r="H5" s="3" t="str">
        <f>CONCATENATE($A2," + ",$E$5)</f>
        <v>Greenhouse + better meet</v>
      </c>
      <c r="I5" s="6">
        <f>'Derived Rejection Data'!L$21</f>
        <v>0</v>
      </c>
    </row>
    <row r="6" spans="1:9" ht="15.6" x14ac:dyDescent="0.3">
      <c r="A6" s="20" t="str">
        <f>'Raw Rejection Data'!B17</f>
        <v>Ashby</v>
      </c>
      <c r="B6" s="22">
        <f>'Raw Rejection Data'!C17</f>
        <v>5</v>
      </c>
      <c r="C6" s="6">
        <f>COUNTIF('Raw Rejection Data'!B:B,A6)</f>
        <v>1</v>
      </c>
      <c r="E6" s="4" t="s">
        <v>108</v>
      </c>
      <c r="F6" s="6">
        <f>'Derived Rejection Data'!F21</f>
        <v>2</v>
      </c>
      <c r="H6" s="3" t="str">
        <f>CONCATENATE($A2," + ",$E$6)</f>
        <v>Greenhouse + filled</v>
      </c>
      <c r="I6" s="6">
        <f>'Derived Rejection Data'!M$21</f>
        <v>0</v>
      </c>
    </row>
    <row r="7" spans="1:9" ht="15.6" x14ac:dyDescent="0.3">
      <c r="A7" s="20" t="str">
        <f>'Raw Rejection Data'!B18</f>
        <v>JazzHr</v>
      </c>
      <c r="B7" s="22">
        <f>'Raw Rejection Data'!C18</f>
        <v>6</v>
      </c>
      <c r="C7" s="6">
        <f>COUNTIF('Raw Rejection Data'!B:B,A7)</f>
        <v>1</v>
      </c>
      <c r="E7" s="4" t="s">
        <v>91</v>
      </c>
      <c r="F7" s="6">
        <f>'Derived Rejection Data'!G21</f>
        <v>3</v>
      </c>
      <c r="H7" s="3" t="str">
        <f>CONCATENATE($A2," + ",$E$7)</f>
        <v>Greenhouse + pursue other </v>
      </c>
      <c r="I7" s="6">
        <f>'Derived Rejection Data'!N$21</f>
        <v>0</v>
      </c>
    </row>
    <row r="8" spans="1:9" ht="15.6" x14ac:dyDescent="0.3">
      <c r="A8" s="20" t="str">
        <f>'Raw Rejection Data'!B19</f>
        <v>SAP Success Factors</v>
      </c>
      <c r="B8" s="22">
        <f>'Raw Rejection Data'!C19</f>
        <v>7</v>
      </c>
      <c r="C8" s="6">
        <f>COUNTIF('Raw Rejection Data'!B:B,A8)</f>
        <v>1</v>
      </c>
      <c r="H8" s="3" t="str">
        <f>CONCATENATE($A3," + ",$E$2)</f>
        <v>ICIMS + Form of align</v>
      </c>
      <c r="I8" s="6">
        <f>'Derived Rejection Data'!O$21</f>
        <v>0</v>
      </c>
    </row>
    <row r="9" spans="1:9" ht="15.6" x14ac:dyDescent="0.3">
      <c r="A9" s="20" t="str">
        <f>'Raw Rejection Data'!B20</f>
        <v>Rippling</v>
      </c>
      <c r="B9" s="22">
        <f>'Raw Rejection Data'!C20</f>
        <v>8</v>
      </c>
      <c r="C9" s="6">
        <f>COUNTIF('Raw Rejection Data'!B:B,A9)</f>
        <v>1</v>
      </c>
      <c r="H9" s="3" t="str">
        <f>CONCATENATE($A3," + ",$E$3)</f>
        <v>ICIMS + Move</v>
      </c>
      <c r="I9" s="6">
        <f>'Derived Rejection Data'!P$21</f>
        <v>1</v>
      </c>
    </row>
    <row r="10" spans="1:9" ht="15.6" x14ac:dyDescent="0.3">
      <c r="H10" s="3" t="str">
        <f>CONCATENATE($A3," + ",$E$4)</f>
        <v>ICIMS + Closer match</v>
      </c>
      <c r="I10" s="6">
        <f>'Derived Rejection Data'!Q$21</f>
        <v>0</v>
      </c>
    </row>
    <row r="11" spans="1:9" ht="15.6" x14ac:dyDescent="0.3">
      <c r="H11" s="3" t="str">
        <f>CONCATENATE($A3," + ",$E$5)</f>
        <v>ICIMS + better meet</v>
      </c>
      <c r="I11" s="6">
        <f>'Derived Rejection Data'!R$21</f>
        <v>0</v>
      </c>
    </row>
    <row r="12" spans="1:9" ht="15.6" x14ac:dyDescent="0.3">
      <c r="H12" s="3" t="str">
        <f>CONCATENATE($A3," + ",$E$6)</f>
        <v>ICIMS + filled</v>
      </c>
      <c r="I12" s="6">
        <f>'Derived Rejection Data'!S$21</f>
        <v>1</v>
      </c>
    </row>
    <row r="13" spans="1:9" ht="15.6" x14ac:dyDescent="0.3">
      <c r="H13" s="3" t="str">
        <f>CONCATENATE($A3," + ",$E$7)</f>
        <v>ICIMS + pursue other </v>
      </c>
      <c r="I13" s="6">
        <f>'Derived Rejection Data'!T$21</f>
        <v>0</v>
      </c>
    </row>
    <row r="14" spans="1:9" ht="15.6" x14ac:dyDescent="0.3">
      <c r="H14" s="3" t="str">
        <f>CONCATENATE($A4," + ",$E$2)</f>
        <v>Workday + Form of align</v>
      </c>
      <c r="I14" s="6">
        <f>'Derived Rejection Data'!U$21</f>
        <v>1</v>
      </c>
    </row>
    <row r="15" spans="1:9" ht="15.6" x14ac:dyDescent="0.3">
      <c r="H15" s="3" t="str">
        <f>CONCATENATE($A4," + ",$E$3)</f>
        <v>Workday + Move</v>
      </c>
      <c r="I15" s="6">
        <f>'Derived Rejection Data'!V$21</f>
        <v>3</v>
      </c>
    </row>
    <row r="16" spans="1:9" ht="15.6" x14ac:dyDescent="0.3">
      <c r="H16" s="3" t="str">
        <f>CONCATENATE($A4," + ",$E$4)</f>
        <v>Workday + Closer match</v>
      </c>
      <c r="I16" s="6">
        <f>'Derived Rejection Data'!W$21</f>
        <v>0</v>
      </c>
    </row>
    <row r="17" spans="1:9" ht="15.6" x14ac:dyDescent="0.3">
      <c r="H17" s="3" t="str">
        <f>CONCATENATE($A4," + ",$E$5)</f>
        <v>Workday + better meet</v>
      </c>
      <c r="I17" s="6">
        <f>'Derived Rejection Data'!X$21</f>
        <v>1</v>
      </c>
    </row>
    <row r="18" spans="1:9" ht="15.6" x14ac:dyDescent="0.3">
      <c r="H18" s="3" t="str">
        <f>CONCATENATE($A4," + ",$E$6)</f>
        <v>Workday + filled</v>
      </c>
      <c r="I18" s="6">
        <f>'Derived Rejection Data'!Y$21</f>
        <v>0</v>
      </c>
    </row>
    <row r="19" spans="1:9" ht="15.6" x14ac:dyDescent="0.3">
      <c r="A19" s="20"/>
      <c r="H19" s="3" t="str">
        <f>CONCATENATE($A4," + ",$E$7)</f>
        <v>Workday + pursue other </v>
      </c>
      <c r="I19" s="6">
        <f>'Derived Rejection Data'!Z$21</f>
        <v>2</v>
      </c>
    </row>
    <row r="20" spans="1:9" ht="15.6" x14ac:dyDescent="0.3">
      <c r="A20" s="20"/>
      <c r="H20" s="3" t="str">
        <f>CONCATENATE($A5," + ",$E$2)</f>
        <v>Paylocity + Form of align</v>
      </c>
      <c r="I20" s="6">
        <f>'Derived Rejection Data'!AA$21</f>
        <v>0</v>
      </c>
    </row>
    <row r="21" spans="1:9" ht="15.6" x14ac:dyDescent="0.3">
      <c r="A21" s="20"/>
      <c r="H21" s="3" t="str">
        <f>CONCATENATE($A5," + ",$E$3)</f>
        <v>Paylocity + Move</v>
      </c>
      <c r="I21" s="6">
        <f>'Derived Rejection Data'!AB$21</f>
        <v>1</v>
      </c>
    </row>
    <row r="22" spans="1:9" ht="15.6" x14ac:dyDescent="0.3">
      <c r="A22" s="20"/>
      <c r="H22" s="3" t="str">
        <f>CONCATENATE($A5," + ",$E$4)</f>
        <v>Paylocity + Closer match</v>
      </c>
      <c r="I22" s="6">
        <f>'Derived Rejection Data'!AC$21</f>
        <v>1</v>
      </c>
    </row>
    <row r="23" spans="1:9" ht="15.6" x14ac:dyDescent="0.3">
      <c r="A23" s="20"/>
      <c r="H23" s="3" t="str">
        <f>CONCATENATE($A5," + ",$E$5)</f>
        <v>Paylocity + better meet</v>
      </c>
      <c r="I23" s="6">
        <f>'Derived Rejection Data'!AD$21</f>
        <v>0</v>
      </c>
    </row>
    <row r="24" spans="1:9" ht="15.6" x14ac:dyDescent="0.3">
      <c r="A24" s="20"/>
      <c r="H24" s="3" t="str">
        <f>CONCATENATE($A5," + ",$E$7)</f>
        <v>Paylocity + pursue other </v>
      </c>
      <c r="I24" s="6">
        <f>'Derived Rejection Data'!AE$21</f>
        <v>0</v>
      </c>
    </row>
    <row r="25" spans="1:9" ht="15.6" x14ac:dyDescent="0.3">
      <c r="H25" s="3" t="str">
        <f>CONCATENATE($A6," + ",$E$6)</f>
        <v>Ashby + filled</v>
      </c>
      <c r="I25" s="6">
        <f>'Derived Rejection Data'!AF$21</f>
        <v>0</v>
      </c>
    </row>
    <row r="26" spans="1:9" ht="15.6" x14ac:dyDescent="0.3">
      <c r="H26" s="3" t="str">
        <f>CONCATENATE($A6," + ",$E$2)</f>
        <v>Ashby + Form of align</v>
      </c>
      <c r="I26" s="6">
        <f>'Derived Rejection Data'!AG$21</f>
        <v>0</v>
      </c>
    </row>
    <row r="27" spans="1:9" ht="15.6" x14ac:dyDescent="0.3">
      <c r="H27" s="3" t="str">
        <f>CONCATENATE($A6," + ",$E$3)</f>
        <v>Ashby + Move</v>
      </c>
      <c r="I27" s="6">
        <f>'Derived Rejection Data'!AH$21</f>
        <v>0</v>
      </c>
    </row>
    <row r="28" spans="1:9" ht="15.6" x14ac:dyDescent="0.3">
      <c r="H28" s="3" t="str">
        <f>CONCATENATE($A6," + ",$E$4)</f>
        <v>Ashby + Closer match</v>
      </c>
      <c r="I28" s="6">
        <f>'Derived Rejection Data'!AI$21</f>
        <v>0</v>
      </c>
    </row>
    <row r="29" spans="1:9" ht="15.6" x14ac:dyDescent="0.3">
      <c r="H29" s="3" t="str">
        <f>CONCATENATE($A6," + ",$E$5)</f>
        <v>Ashby + better meet</v>
      </c>
      <c r="I29" s="6">
        <f>'Derived Rejection Data'!AJ$21</f>
        <v>0</v>
      </c>
    </row>
    <row r="30" spans="1:9" ht="15.6" x14ac:dyDescent="0.3">
      <c r="H30" s="3" t="str">
        <f>CONCATENATE($A6," + ",$E$6)</f>
        <v>Ashby + filled</v>
      </c>
      <c r="I30" s="6">
        <f>'Derived Rejection Data'!AK$21</f>
        <v>1</v>
      </c>
    </row>
    <row r="31" spans="1:9" ht="15.6" x14ac:dyDescent="0.3">
      <c r="H31" s="3" t="str">
        <f>CONCATENATE($A6," + ",$E$7)</f>
        <v>Ashby + pursue other </v>
      </c>
      <c r="I31" s="6">
        <f>'Derived Rejection Data'!AL$21</f>
        <v>0</v>
      </c>
    </row>
    <row r="32" spans="1:9" ht="15.6" x14ac:dyDescent="0.3">
      <c r="H32" s="3" t="str">
        <f>CONCATENATE($A7," + ",$E$2)</f>
        <v>JazzHr + Form of align</v>
      </c>
      <c r="I32" s="6">
        <f>'Derived Rejection Data'!AM$21</f>
        <v>0</v>
      </c>
    </row>
    <row r="33" spans="8:9" ht="15.6" x14ac:dyDescent="0.3">
      <c r="H33" s="3" t="str">
        <f>CONCATENATE($A7," + ",$E$3)</f>
        <v>JazzHr + Move</v>
      </c>
      <c r="I33" s="6">
        <f>'Derived Rejection Data'!AN$21</f>
        <v>1</v>
      </c>
    </row>
    <row r="34" spans="8:9" ht="15.6" x14ac:dyDescent="0.3">
      <c r="H34" s="3" t="str">
        <f>CONCATENATE($A7," + ",$E$4)</f>
        <v>JazzHr + Closer match</v>
      </c>
      <c r="I34" s="6">
        <f>'Derived Rejection Data'!AO$21</f>
        <v>0</v>
      </c>
    </row>
    <row r="35" spans="8:9" ht="15.6" x14ac:dyDescent="0.3">
      <c r="H35" s="3" t="str">
        <f>CONCATENATE($A7," + ",$E$5)</f>
        <v>JazzHr + better meet</v>
      </c>
      <c r="I35" s="6">
        <f>'Derived Rejection Data'!AP$21</f>
        <v>0</v>
      </c>
    </row>
    <row r="36" spans="8:9" ht="15.6" x14ac:dyDescent="0.3">
      <c r="H36" s="3" t="str">
        <f>CONCATENATE($A7," + ",$E$6)</f>
        <v>JazzHr + filled</v>
      </c>
      <c r="I36" s="6">
        <f>'Derived Rejection Data'!AQ$21</f>
        <v>0</v>
      </c>
    </row>
    <row r="37" spans="8:9" ht="15.6" x14ac:dyDescent="0.3">
      <c r="H37" s="3" t="str">
        <f>CONCATENATE($A7," + ",$E$7)</f>
        <v>JazzHr + pursue other </v>
      </c>
      <c r="I37" s="6">
        <f>'Derived Rejection Data'!AR$21</f>
        <v>0</v>
      </c>
    </row>
    <row r="38" spans="8:9" ht="15.6" x14ac:dyDescent="0.3">
      <c r="H38" s="3" t="str">
        <f>CONCATENATE($A8," + ",$E$2)</f>
        <v>SAP Success Factors + Form of align</v>
      </c>
      <c r="I38" s="6">
        <f>'Derived Rejection Data'!AS$21</f>
        <v>0</v>
      </c>
    </row>
    <row r="39" spans="8:9" ht="15.6" x14ac:dyDescent="0.3">
      <c r="H39" s="3" t="str">
        <f>CONCATENATE($A8," + ",$E$3)</f>
        <v>SAP Success Factors + Move</v>
      </c>
      <c r="I39" s="6">
        <f>'Derived Rejection Data'!AT$21</f>
        <v>0</v>
      </c>
    </row>
    <row r="40" spans="8:9" ht="15.6" x14ac:dyDescent="0.3">
      <c r="H40" s="3" t="str">
        <f>CONCATENATE($A8," + ",$E$4)</f>
        <v>SAP Success Factors + Closer match</v>
      </c>
      <c r="I40" s="6">
        <f>'Derived Rejection Data'!AU$21</f>
        <v>0</v>
      </c>
    </row>
    <row r="41" spans="8:9" ht="15.6" x14ac:dyDescent="0.3">
      <c r="H41" s="3" t="str">
        <f>CONCATENATE($A8," + ",$E$5)</f>
        <v>SAP Success Factors + better meet</v>
      </c>
      <c r="I41" s="6">
        <f>'Derived Rejection Data'!AV$21</f>
        <v>0</v>
      </c>
    </row>
    <row r="42" spans="8:9" ht="15.6" x14ac:dyDescent="0.3">
      <c r="H42" s="3" t="str">
        <f>CONCATENATE($A8," + ",$E$6)</f>
        <v>SAP Success Factors + filled</v>
      </c>
      <c r="I42" s="6">
        <f>'Derived Rejection Data'!AW$21</f>
        <v>0</v>
      </c>
    </row>
    <row r="43" spans="8:9" ht="15.6" x14ac:dyDescent="0.3">
      <c r="H43" s="3" t="str">
        <f>CONCATENATE($A8," + ",$E$7)</f>
        <v>SAP Success Factors + pursue other </v>
      </c>
      <c r="I43" s="6">
        <f>'Derived Rejection Data'!AX$21</f>
        <v>1</v>
      </c>
    </row>
    <row r="44" spans="8:9" ht="15.6" x14ac:dyDescent="0.3">
      <c r="H44" s="3" t="str">
        <f>CONCATENATE($A9," + ",$E$2)</f>
        <v>Rippling + Form of align</v>
      </c>
      <c r="I44" s="6">
        <f>'Derived Rejection Data'!AY$21</f>
        <v>0</v>
      </c>
    </row>
    <row r="45" spans="8:9" ht="15.6" x14ac:dyDescent="0.3">
      <c r="H45" s="3" t="str">
        <f>CONCATENATE($A9," + ",$E$3)</f>
        <v>Rippling + Move</v>
      </c>
      <c r="I45" s="6">
        <f>'Derived Rejection Data'!AZ$21</f>
        <v>1</v>
      </c>
    </row>
    <row r="46" spans="8:9" ht="15.6" x14ac:dyDescent="0.3">
      <c r="H46" s="3" t="str">
        <f>CONCATENATE($A9," + ",$E$4)</f>
        <v>Rippling + Closer match</v>
      </c>
      <c r="I46" s="6">
        <f>'Derived Rejection Data'!BA$21</f>
        <v>0</v>
      </c>
    </row>
    <row r="47" spans="8:9" ht="15.6" x14ac:dyDescent="0.3">
      <c r="H47" s="3" t="str">
        <f>CONCATENATE($A9," + ",$E$5)</f>
        <v>Rippling + better meet</v>
      </c>
      <c r="I47" s="6">
        <f>'Derived Rejection Data'!BB$21</f>
        <v>0</v>
      </c>
    </row>
    <row r="48" spans="8:9" ht="15.6" x14ac:dyDescent="0.3">
      <c r="H48" s="3" t="str">
        <f>CONCATENATE($A9," + ",$E$6)</f>
        <v>Rippling + filled</v>
      </c>
      <c r="I48" s="6">
        <f>'Derived Rejection Data'!BC$21</f>
        <v>0</v>
      </c>
    </row>
    <row r="49" spans="8:9" ht="15.6" x14ac:dyDescent="0.3">
      <c r="H49" s="3" t="str">
        <f>CONCATENATE($A9," + ",$E$7)</f>
        <v>Rippling + pursue other </v>
      </c>
      <c r="I49" s="6">
        <f>'Derived Rejection Data'!BD$21</f>
        <v>0</v>
      </c>
    </row>
  </sheetData>
  <sortState xmlns:xlrd2="http://schemas.microsoft.com/office/spreadsheetml/2017/richdata2" ref="A2:A9">
    <sortCondition ref="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CF85-F7DA-4DC0-B1AA-B9730FCB50F3}">
  <dimension ref="A1:BD39"/>
  <sheetViews>
    <sheetView tabSelected="1" workbookViewId="0">
      <pane ySplit="2" topLeftCell="A3" activePane="bottomLeft" state="frozenSplit"/>
      <selection pane="bottomLeft" activeCell="C23" sqref="C23"/>
    </sheetView>
  </sheetViews>
  <sheetFormatPr defaultRowHeight="14.4" x14ac:dyDescent="0.3"/>
  <cols>
    <col min="1" max="2" width="20.6640625" customWidth="1"/>
    <col min="3" max="3" width="22.21875" customWidth="1"/>
    <col min="4" max="7" width="24.21875" customWidth="1"/>
    <col min="8" max="8" width="0.77734375" style="28" customWidth="1"/>
    <col min="9" max="9" width="5.21875" style="17" bestFit="1" customWidth="1"/>
    <col min="10" max="10" width="13.21875" style="17" bestFit="1" customWidth="1"/>
    <col min="11" max="11" width="12.44140625" style="17" bestFit="1" customWidth="1"/>
    <col min="12" max="12" width="11.21875" style="17" bestFit="1" customWidth="1"/>
    <col min="13" max="13" width="11.21875" style="17" customWidth="1"/>
    <col min="14" max="14" width="17.33203125" style="17" customWidth="1"/>
    <col min="15" max="15" width="5.21875" style="18" bestFit="1" customWidth="1"/>
    <col min="16" max="16" width="13.21875" style="18" bestFit="1" customWidth="1"/>
    <col min="17" max="17" width="12.44140625" style="18" bestFit="1" customWidth="1"/>
    <col min="18" max="18" width="11.21875" style="18" bestFit="1" customWidth="1"/>
    <col min="19" max="20" width="11.21875" style="18" customWidth="1"/>
    <col min="21" max="21" width="5.21875" style="19" customWidth="1"/>
    <col min="22" max="22" width="13.21875" style="17" bestFit="1" customWidth="1"/>
    <col min="23" max="23" width="12.44140625" style="17" bestFit="1" customWidth="1"/>
    <col min="24" max="24" width="11.21875" style="17" bestFit="1" customWidth="1"/>
    <col min="25" max="26" width="11.21875" style="17" customWidth="1"/>
    <col min="27" max="27" width="5.5546875" style="18" customWidth="1"/>
    <col min="28" max="28" width="13.21875" style="18" bestFit="1" customWidth="1"/>
    <col min="29" max="29" width="12.44140625" style="18" bestFit="1" customWidth="1"/>
    <col min="30" max="30" width="11.21875" style="18" bestFit="1" customWidth="1"/>
    <col min="31" max="32" width="11.21875" style="18" customWidth="1"/>
    <col min="33" max="33" width="5.21875" style="19" customWidth="1"/>
    <col min="34" max="34" width="13.21875" style="17" bestFit="1" customWidth="1"/>
    <col min="35" max="35" width="12.44140625" style="17" bestFit="1" customWidth="1"/>
    <col min="36" max="36" width="11.21875" style="17" bestFit="1" customWidth="1"/>
    <col min="37" max="38" width="11.21875" style="17" customWidth="1"/>
    <col min="39" max="39" width="5.5546875" style="18" customWidth="1"/>
    <col min="40" max="40" width="13.21875" style="18" bestFit="1" customWidth="1"/>
    <col min="41" max="41" width="12.44140625" style="18" bestFit="1" customWidth="1"/>
    <col min="42" max="42" width="11.21875" style="18" bestFit="1" customWidth="1"/>
    <col min="43" max="44" width="11.21875" style="18" customWidth="1"/>
    <col min="50" max="50" width="11.33203125" style="17" customWidth="1"/>
    <col min="51" max="51" width="5.5546875" style="18" customWidth="1"/>
    <col min="52" max="52" width="13.21875" style="18" bestFit="1" customWidth="1"/>
    <col min="53" max="53" width="12.44140625" style="18" bestFit="1" customWidth="1"/>
    <col min="54" max="54" width="11.21875" style="18" bestFit="1" customWidth="1"/>
    <col min="55" max="56" width="11.21875" style="18" customWidth="1"/>
  </cols>
  <sheetData>
    <row r="1" spans="1:56" x14ac:dyDescent="0.3">
      <c r="A1" s="25" t="s">
        <v>116</v>
      </c>
      <c r="B1" s="25"/>
      <c r="C1" s="25"/>
      <c r="D1" s="25"/>
      <c r="E1" s="25"/>
      <c r="F1" s="25"/>
      <c r="G1" s="25"/>
      <c r="H1" s="25"/>
      <c r="I1" s="13" t="s">
        <v>59</v>
      </c>
      <c r="J1" s="13"/>
      <c r="K1" s="13"/>
      <c r="L1" s="13"/>
      <c r="M1" s="15"/>
      <c r="N1" s="15"/>
      <c r="O1" s="23" t="s">
        <v>17</v>
      </c>
      <c r="P1" s="23"/>
      <c r="Q1" s="23"/>
      <c r="R1" s="23"/>
      <c r="S1" s="23"/>
      <c r="T1" s="23"/>
      <c r="U1" s="13" t="s">
        <v>23</v>
      </c>
      <c r="V1" s="13"/>
      <c r="W1" s="13"/>
      <c r="X1" s="13"/>
      <c r="Y1" s="13"/>
      <c r="Z1" s="13"/>
      <c r="AA1" s="14" t="s">
        <v>12</v>
      </c>
      <c r="AB1" s="14"/>
      <c r="AC1" s="14"/>
      <c r="AD1" s="14"/>
      <c r="AE1" s="14"/>
      <c r="AF1" s="14"/>
      <c r="AG1" s="13" t="s">
        <v>73</v>
      </c>
      <c r="AH1" s="13"/>
      <c r="AI1" s="13"/>
      <c r="AJ1" s="13"/>
      <c r="AK1" s="13"/>
      <c r="AL1" s="13"/>
      <c r="AM1" s="14" t="s">
        <v>81</v>
      </c>
      <c r="AN1" s="14"/>
      <c r="AO1" s="14"/>
      <c r="AP1" s="14"/>
      <c r="AQ1" s="14"/>
      <c r="AR1" s="14"/>
      <c r="AS1" s="13" t="s">
        <v>89</v>
      </c>
      <c r="AT1" s="13"/>
      <c r="AU1" s="13"/>
      <c r="AV1" s="13"/>
      <c r="AW1" s="13"/>
      <c r="AX1" s="13"/>
      <c r="AY1" s="14" t="s">
        <v>107</v>
      </c>
      <c r="AZ1" s="14"/>
      <c r="BA1" s="14"/>
      <c r="BB1" s="14"/>
      <c r="BC1" s="14"/>
      <c r="BD1" s="14"/>
    </row>
    <row r="2" spans="1:56" s="1" customFormat="1" x14ac:dyDescent="0.3">
      <c r="A2" s="1" t="s">
        <v>2</v>
      </c>
      <c r="B2" s="9" t="s">
        <v>52</v>
      </c>
      <c r="C2" s="9" t="s">
        <v>53</v>
      </c>
      <c r="D2" s="9" t="s">
        <v>54</v>
      </c>
      <c r="E2" s="9" t="s">
        <v>64</v>
      </c>
      <c r="F2" s="9" t="s">
        <v>71</v>
      </c>
      <c r="G2" s="9" t="s">
        <v>92</v>
      </c>
      <c r="H2" s="27"/>
      <c r="I2" s="15" t="s">
        <v>60</v>
      </c>
      <c r="J2" s="15" t="s">
        <v>61</v>
      </c>
      <c r="K2" s="15" t="s">
        <v>62</v>
      </c>
      <c r="L2" s="15" t="s">
        <v>65</v>
      </c>
      <c r="M2" s="15" t="s">
        <v>70</v>
      </c>
      <c r="N2" s="1" t="s">
        <v>93</v>
      </c>
      <c r="O2" s="24" t="s">
        <v>60</v>
      </c>
      <c r="P2" s="24" t="s">
        <v>61</v>
      </c>
      <c r="Q2" s="24" t="s">
        <v>62</v>
      </c>
      <c r="R2" s="24" t="s">
        <v>65</v>
      </c>
      <c r="S2" s="24" t="s">
        <v>70</v>
      </c>
      <c r="T2" s="24" t="s">
        <v>93</v>
      </c>
      <c r="U2" s="15" t="s">
        <v>60</v>
      </c>
      <c r="V2" s="15" t="s">
        <v>61</v>
      </c>
      <c r="W2" s="15" t="s">
        <v>62</v>
      </c>
      <c r="X2" s="15" t="s">
        <v>65</v>
      </c>
      <c r="Y2" s="15" t="s">
        <v>70</v>
      </c>
      <c r="Z2" s="1" t="s">
        <v>93</v>
      </c>
      <c r="AA2" s="16" t="s">
        <v>60</v>
      </c>
      <c r="AB2" s="16" t="s">
        <v>61</v>
      </c>
      <c r="AC2" s="16" t="s">
        <v>62</v>
      </c>
      <c r="AD2" s="16" t="s">
        <v>65</v>
      </c>
      <c r="AE2" s="16" t="s">
        <v>70</v>
      </c>
      <c r="AF2" s="16" t="s">
        <v>93</v>
      </c>
      <c r="AG2" s="15" t="s">
        <v>60</v>
      </c>
      <c r="AH2" s="15" t="s">
        <v>61</v>
      </c>
      <c r="AI2" s="15" t="s">
        <v>62</v>
      </c>
      <c r="AJ2" s="15" t="s">
        <v>65</v>
      </c>
      <c r="AK2" s="15" t="s">
        <v>70</v>
      </c>
      <c r="AL2" s="1" t="s">
        <v>93</v>
      </c>
      <c r="AM2" s="16" t="s">
        <v>60</v>
      </c>
      <c r="AN2" s="16" t="s">
        <v>61</v>
      </c>
      <c r="AO2" s="16" t="s">
        <v>62</v>
      </c>
      <c r="AP2" s="16" t="s">
        <v>65</v>
      </c>
      <c r="AQ2" s="16" t="s">
        <v>70</v>
      </c>
      <c r="AR2" s="16" t="s">
        <v>93</v>
      </c>
      <c r="AS2" s="15" t="s">
        <v>60</v>
      </c>
      <c r="AT2" s="15" t="s">
        <v>61</v>
      </c>
      <c r="AU2" s="15" t="s">
        <v>62</v>
      </c>
      <c r="AV2" s="15" t="s">
        <v>65</v>
      </c>
      <c r="AW2" s="15" t="s">
        <v>70</v>
      </c>
      <c r="AX2" s="1" t="s">
        <v>93</v>
      </c>
      <c r="AY2" s="16" t="s">
        <v>60</v>
      </c>
      <c r="AZ2" s="16" t="s">
        <v>61</v>
      </c>
      <c r="BA2" s="16" t="s">
        <v>62</v>
      </c>
      <c r="BB2" s="16" t="s">
        <v>65</v>
      </c>
      <c r="BC2" s="16" t="s">
        <v>70</v>
      </c>
      <c r="BD2" s="16" t="s">
        <v>93</v>
      </c>
    </row>
    <row r="3" spans="1:56" x14ac:dyDescent="0.3">
      <c r="A3" t="str">
        <f>'Raw Rejection Data'!B4</f>
        <v>Greenhouse</v>
      </c>
      <c r="B3" s="6">
        <f>IF(ISNUMBER(SEARCH("align",'Raw Rejection Data'!$G4)),1,0)</f>
        <v>1</v>
      </c>
      <c r="C3" s="6">
        <f>IF(ISNUMBER(SEARCH("*mov*",'Raw Rejection Data'!$G4)),1,0)</f>
        <v>1</v>
      </c>
      <c r="D3" s="6">
        <f>IF(ISNUMBER(SEARCH("closer match",'Raw Rejection Data'!$G4)),1,0)</f>
        <v>0</v>
      </c>
      <c r="E3" s="6">
        <f>IF(ISNUMBER(SEARCH("better meet",'Raw Rejection Data'!$G4)),1,0)</f>
        <v>0</v>
      </c>
      <c r="F3" s="6">
        <f>IF(ISNUMBER(SEARCH("filled",'Raw Rejection Data'!$G4)),1,0)</f>
        <v>0</v>
      </c>
      <c r="G3" s="6">
        <f>IF(ISNUMBER(SEARCH("*pursue other*",'Raw Rejection Data'!$G4)),1,0)</f>
        <v>0</v>
      </c>
      <c r="I3" s="17">
        <f>IF($I$1=$A3,$B3,0)</f>
        <v>1</v>
      </c>
      <c r="J3" s="17">
        <f>IF($I$1=$A3,$C3,0)</f>
        <v>1</v>
      </c>
      <c r="K3" s="17">
        <f>IF($I$1=$A3,$D3,0)</f>
        <v>0</v>
      </c>
      <c r="L3" s="17">
        <f>IF($I$1=$A3,$E3,0)</f>
        <v>0</v>
      </c>
      <c r="M3" s="17">
        <f t="shared" ref="M3:M19" si="0">IF($I$1=$A3,$F3,0)</f>
        <v>0</v>
      </c>
      <c r="N3" s="17">
        <f>IF($I$1=$A3,$G3,0)</f>
        <v>0</v>
      </c>
      <c r="O3" s="18">
        <f>IF($O$1=$A3,$B3,0)</f>
        <v>0</v>
      </c>
      <c r="P3" s="18">
        <f>IF($O$1=$A3,$C3,0)</f>
        <v>0</v>
      </c>
      <c r="Q3" s="18">
        <f>IF($O$1=$A3,$D3,0)</f>
        <v>0</v>
      </c>
      <c r="R3" s="18">
        <f>IF($O$1=$A3,$E3,0)</f>
        <v>0</v>
      </c>
      <c r="S3" s="18">
        <f>IF($O$1=$A3,$F3,0)</f>
        <v>0</v>
      </c>
      <c r="T3" s="18">
        <f>IF($O$1=$A3,$G3,0)</f>
        <v>0</v>
      </c>
      <c r="U3" s="17">
        <f>IF($U$1=$A3,$B3,0)</f>
        <v>0</v>
      </c>
      <c r="V3" s="17">
        <f>IF($U$1=$A3,$C3,0)</f>
        <v>0</v>
      </c>
      <c r="W3" s="17">
        <f>IF($U$1=$A3,$D3,0)</f>
        <v>0</v>
      </c>
      <c r="X3" s="17">
        <f>IF($U$1=$A3,$E3,0)</f>
        <v>0</v>
      </c>
      <c r="Y3" s="17">
        <f>IF($U$1=$A3,$F3,0)</f>
        <v>0</v>
      </c>
      <c r="Z3" s="17">
        <f>IF($U$1=$A3,$G3,0)</f>
        <v>0</v>
      </c>
      <c r="AA3" s="18">
        <f>IF($AA$1=$A3,$B3,0)</f>
        <v>0</v>
      </c>
      <c r="AB3" s="18">
        <f>IF($AA$1=$A3,$C3,0)</f>
        <v>0</v>
      </c>
      <c r="AC3" s="18">
        <f>IF($AA$1=$A3,$D3,0)</f>
        <v>0</v>
      </c>
      <c r="AD3" s="18">
        <f>IF($AA$1=$A3,$E3,0)</f>
        <v>0</v>
      </c>
      <c r="AE3" s="18">
        <f>IF($AA$1=$A3,$F3,0)</f>
        <v>0</v>
      </c>
      <c r="AF3" s="18">
        <f>IF($AA$1=$A3,$G3,0)</f>
        <v>0</v>
      </c>
      <c r="AG3" s="17">
        <f>IF($AG$1=$A3,$B3,0)</f>
        <v>0</v>
      </c>
      <c r="AH3" s="17">
        <f>IF($AG$1=$A3,$C3,0)</f>
        <v>0</v>
      </c>
      <c r="AI3" s="17">
        <f>IF($AG$1=$A3,$D3,0)</f>
        <v>0</v>
      </c>
      <c r="AJ3" s="17">
        <f>IF($AG$1=$A3,$E3,0)</f>
        <v>0</v>
      </c>
      <c r="AK3" s="17">
        <f>IF($AG$1=$A3,$F3,0)</f>
        <v>0</v>
      </c>
      <c r="AL3" s="17">
        <f>IF($AG$1=$A3,$G3,0)</f>
        <v>0</v>
      </c>
      <c r="AM3" s="18">
        <f>IF($AM$1=$A3,$B3,0)</f>
        <v>0</v>
      </c>
      <c r="AN3" s="18">
        <f>IF($AM$1=$A3,$C3,0)</f>
        <v>0</v>
      </c>
      <c r="AO3" s="18">
        <f>IF($AM$1=$A3,$D3,0)</f>
        <v>0</v>
      </c>
      <c r="AP3" s="18">
        <f>IF($AM$1=$A3,$E3,0)</f>
        <v>0</v>
      </c>
      <c r="AQ3" s="18">
        <f>IF($AM$1=$A3,$F3,0)</f>
        <v>0</v>
      </c>
      <c r="AR3" s="18">
        <f>IF($AM$1=$A3,$G3,0)</f>
        <v>0</v>
      </c>
      <c r="AS3" s="17">
        <f>IF($AS$1=$A3,$B3,0)</f>
        <v>0</v>
      </c>
      <c r="AT3" s="17">
        <f>IF($AS$1=$A3,$C3,0)</f>
        <v>0</v>
      </c>
      <c r="AU3" s="17">
        <f>IF($AS$1=$A3,$D3,0)</f>
        <v>0</v>
      </c>
      <c r="AV3" s="17">
        <f>IF($AS$1=$A3,$E3,0)</f>
        <v>0</v>
      </c>
      <c r="AW3" s="17">
        <f>IF($AS$1=$A3,$F3,0)</f>
        <v>0</v>
      </c>
      <c r="AX3" s="17">
        <f>IF($AS$1=$A3,$G3,0)</f>
        <v>0</v>
      </c>
      <c r="AY3" s="18">
        <f>IF($AY$1=$A3,$B3,0)</f>
        <v>0</v>
      </c>
      <c r="AZ3" s="18">
        <f>IF($AY$1=$A3,$C3,0)</f>
        <v>0</v>
      </c>
      <c r="BA3" s="18">
        <f>IF($AY$1=$A3,$D3,0)</f>
        <v>0</v>
      </c>
      <c r="BB3" s="18">
        <f>IF($AY$1=$A3,$E3,0)</f>
        <v>0</v>
      </c>
      <c r="BC3" s="18">
        <f>IF($AY$1=$A3,$F3,0)</f>
        <v>0</v>
      </c>
      <c r="BD3" s="18">
        <f>IF($AY$1=$A3,$G3,0)</f>
        <v>0</v>
      </c>
    </row>
    <row r="4" spans="1:56" x14ac:dyDescent="0.3">
      <c r="A4" t="str">
        <f>'Raw Rejection Data'!B5</f>
        <v>Greenhouse</v>
      </c>
      <c r="B4" s="6">
        <f>IF(ISNUMBER(SEARCH("align",'Raw Rejection Data'!$G5)),1,0)</f>
        <v>1</v>
      </c>
      <c r="C4" s="6">
        <f>IF(ISNUMBER(SEARCH("*mov*",'Raw Rejection Data'!$G5)),1,0)</f>
        <v>0</v>
      </c>
      <c r="D4" s="6">
        <f>IF(ISNUMBER(SEARCH("closer match",'Raw Rejection Data'!$G5)),1,0)</f>
        <v>0</v>
      </c>
      <c r="E4" s="6">
        <f>IF(ISNUMBER(SEARCH("better meet",'Raw Rejection Data'!$G5)),1,0)</f>
        <v>0</v>
      </c>
      <c r="F4" s="6">
        <f>IF(ISNUMBER(SEARCH("filled",'Raw Rejection Data'!$G5)),1,0)</f>
        <v>0</v>
      </c>
      <c r="G4" s="6">
        <f>IF(ISNUMBER(SEARCH("*pursue other*",'Raw Rejection Data'!$G5)),1,0)</f>
        <v>0</v>
      </c>
      <c r="I4" s="17">
        <f t="shared" ref="I4:I19" si="1">IF($I$1=$A4,$B4,0)</f>
        <v>1</v>
      </c>
      <c r="J4" s="17">
        <f t="shared" ref="J4:J19" si="2">IF($I$1=$A4,$C4,0)</f>
        <v>0</v>
      </c>
      <c r="K4" s="17">
        <f t="shared" ref="K4:K19" si="3">IF($I$1=$A4,$D4,0)</f>
        <v>0</v>
      </c>
      <c r="L4" s="17">
        <f t="shared" ref="L4:L19" si="4">IF($I$1=$A4,$E4,0)</f>
        <v>0</v>
      </c>
      <c r="M4" s="17">
        <f t="shared" si="0"/>
        <v>0</v>
      </c>
      <c r="N4" s="17">
        <f t="shared" ref="N4:N19" si="5">IF($I$1=$A4,$G4,0)</f>
        <v>0</v>
      </c>
      <c r="O4" s="18">
        <f t="shared" ref="O4:O19" si="6">IF($O$1=$A4,$B4,0)</f>
        <v>0</v>
      </c>
      <c r="P4" s="18">
        <f t="shared" ref="P4:P19" si="7">IF($O$1=$A4,$C4,0)</f>
        <v>0</v>
      </c>
      <c r="Q4" s="18">
        <f t="shared" ref="Q4:Q19" si="8">IF($O$1=$A4,$D4,0)</f>
        <v>0</v>
      </c>
      <c r="R4" s="18">
        <f t="shared" ref="R4:R19" si="9">IF($O$1=$A4,$E4,0)</f>
        <v>0</v>
      </c>
      <c r="S4" s="18">
        <f t="shared" ref="S4:S19" si="10">IF($O$1=$A4,$F4,0)</f>
        <v>0</v>
      </c>
      <c r="T4" s="18">
        <f t="shared" ref="T4:T19" si="11">IF($O$1=$A4,$G4,0)</f>
        <v>0</v>
      </c>
      <c r="U4" s="17">
        <f t="shared" ref="U4:U19" si="12">IF($U$1=$A4,$B4,0)</f>
        <v>0</v>
      </c>
      <c r="V4" s="17">
        <f t="shared" ref="V4:V19" si="13">IF($U$1=$A4,$C4,0)</f>
        <v>0</v>
      </c>
      <c r="W4" s="17">
        <f t="shared" ref="W4:W19" si="14">IF($U$1=$A4,$D4,0)</f>
        <v>0</v>
      </c>
      <c r="X4" s="17">
        <f t="shared" ref="X4:X19" si="15">IF($U$1=$A4,$E4,0)</f>
        <v>0</v>
      </c>
      <c r="Y4" s="17">
        <f t="shared" ref="Y4:Y19" si="16">IF($U$1=$A4,$F4,0)</f>
        <v>0</v>
      </c>
      <c r="Z4" s="17">
        <f t="shared" ref="Z4:Z19" si="17">IF($U$1=$A4,$G4,0)</f>
        <v>0</v>
      </c>
      <c r="AA4" s="18">
        <f t="shared" ref="AA4:AA19" si="18">IF($AA$1=$A4,$B4,0)</f>
        <v>0</v>
      </c>
      <c r="AB4" s="18">
        <f t="shared" ref="AB4:AB19" si="19">IF($AA$1=$A4,$C4,0)</f>
        <v>0</v>
      </c>
      <c r="AC4" s="18">
        <f t="shared" ref="AC4:AC19" si="20">IF($AA$1=$A4,$D4,0)</f>
        <v>0</v>
      </c>
      <c r="AD4" s="18">
        <f t="shared" ref="AD4:AD19" si="21">IF($AA$1=$A4,$E4,0)</f>
        <v>0</v>
      </c>
      <c r="AE4" s="18">
        <f t="shared" ref="AE4:AE19" si="22">IF($AA$1=$A4,$F4,0)</f>
        <v>0</v>
      </c>
      <c r="AF4" s="18">
        <f t="shared" ref="AF4:AF19" si="23">IF($AA$1=$A4,$G4,0)</f>
        <v>0</v>
      </c>
      <c r="AG4" s="17">
        <f t="shared" ref="AG4:AG19" si="24">IF($AG$1=$A4,$B4,0)</f>
        <v>0</v>
      </c>
      <c r="AH4" s="17">
        <f t="shared" ref="AH4:AH19" si="25">IF($AG$1=$A4,$C4,0)</f>
        <v>0</v>
      </c>
      <c r="AI4" s="17">
        <f t="shared" ref="AI4:AI19" si="26">IF($AG$1=$A4,$D4,0)</f>
        <v>0</v>
      </c>
      <c r="AJ4" s="17">
        <f t="shared" ref="AJ4:AJ19" si="27">IF($AG$1=$A4,$E4,0)</f>
        <v>0</v>
      </c>
      <c r="AK4" s="17">
        <f t="shared" ref="AK4:AK19" si="28">IF($AG$1=$A4,$F4,0)</f>
        <v>0</v>
      </c>
      <c r="AL4" s="17">
        <f t="shared" ref="AL4:AL19" si="29">IF($AG$1=$A4,$G4,0)</f>
        <v>0</v>
      </c>
      <c r="AM4" s="18">
        <f t="shared" ref="AM4:AM19" si="30">IF($AM$1=$A4,$B4,0)</f>
        <v>0</v>
      </c>
      <c r="AN4" s="18">
        <f t="shared" ref="AN4:AN19" si="31">IF($AM$1=$A4,$C4,0)</f>
        <v>0</v>
      </c>
      <c r="AO4" s="18">
        <f t="shared" ref="AO4:AO19" si="32">IF($AM$1=$A4,$D4,0)</f>
        <v>0</v>
      </c>
      <c r="AP4" s="18">
        <f t="shared" ref="AP4:AP19" si="33">IF($AM$1=$A4,$E4,0)</f>
        <v>0</v>
      </c>
      <c r="AQ4" s="18">
        <f t="shared" ref="AQ4:AQ19" si="34">IF($AM$1=$A4,$F4,0)</f>
        <v>0</v>
      </c>
      <c r="AR4" s="18">
        <f t="shared" ref="AR4:AR19" si="35">IF($AM$1=$A4,$G4,0)</f>
        <v>0</v>
      </c>
      <c r="AS4" s="17">
        <f t="shared" ref="AS4:AS19" si="36">IF($AS$1=$A4,$B4,0)</f>
        <v>0</v>
      </c>
      <c r="AT4" s="17">
        <f t="shared" ref="AT4:AT19" si="37">IF($AS$1=$A4,$C4,0)</f>
        <v>0</v>
      </c>
      <c r="AU4" s="17">
        <f t="shared" ref="AU4:AU19" si="38">IF($AS$1=$A4,$D4,0)</f>
        <v>0</v>
      </c>
      <c r="AV4" s="17">
        <f t="shared" ref="AV4:AV19" si="39">IF($AS$1=$A4,$E4,0)</f>
        <v>0</v>
      </c>
      <c r="AW4" s="17">
        <f t="shared" ref="AW4:AW19" si="40">IF($AS$1=$A4,$F4,0)</f>
        <v>0</v>
      </c>
      <c r="AX4" s="17">
        <f t="shared" ref="AX4:AX19" si="41">IF($AS$1=$A4,$G4,0)</f>
        <v>0</v>
      </c>
      <c r="AY4" s="18">
        <f t="shared" ref="AY4:AY19" si="42">IF($AY$1=$A4,$B4,0)</f>
        <v>0</v>
      </c>
      <c r="AZ4" s="18">
        <f t="shared" ref="AZ4:AZ19" si="43">IF($AY$1=$A4,$C4,0)</f>
        <v>0</v>
      </c>
      <c r="BA4" s="18">
        <f t="shared" ref="BA4:BA19" si="44">IF($AY$1=$A4,$D4,0)</f>
        <v>0</v>
      </c>
      <c r="BB4" s="18">
        <f t="shared" ref="BB4:BB19" si="45">IF($AY$1=$A4,$E4,0)</f>
        <v>0</v>
      </c>
      <c r="BC4" s="18">
        <f t="shared" ref="BC4:BC19" si="46">IF($AY$1=$A4,$F4,0)</f>
        <v>0</v>
      </c>
      <c r="BD4" s="18">
        <f t="shared" ref="BD4:BD19" si="47">IF($AY$1=$A4,$G4,0)</f>
        <v>0</v>
      </c>
    </row>
    <row r="5" spans="1:56" x14ac:dyDescent="0.3">
      <c r="A5" t="str">
        <f>'Raw Rejection Data'!B6</f>
        <v>Greenhouse</v>
      </c>
      <c r="B5" s="6">
        <f>IF(ISNUMBER(SEARCH("align",'Raw Rejection Data'!$G6)),1,0)</f>
        <v>1</v>
      </c>
      <c r="C5" s="6">
        <f>IF(ISNUMBER(SEARCH("*mov*",'Raw Rejection Data'!$G6)),1,0)</f>
        <v>1</v>
      </c>
      <c r="D5" s="6">
        <f>IF(ISNUMBER(SEARCH("closer match",'Raw Rejection Data'!$G6)),1,0)</f>
        <v>0</v>
      </c>
      <c r="E5" s="6">
        <f>IF(ISNUMBER(SEARCH("better meet",'Raw Rejection Data'!$G6)),1,0)</f>
        <v>0</v>
      </c>
      <c r="F5" s="6">
        <f>IF(ISNUMBER(SEARCH("filled",'Raw Rejection Data'!$G6)),1,0)</f>
        <v>0</v>
      </c>
      <c r="G5" s="6">
        <f>IF(ISNUMBER(SEARCH("*pursue other*",'Raw Rejection Data'!$G6)),1,0)</f>
        <v>0</v>
      </c>
      <c r="I5" s="17">
        <f t="shared" si="1"/>
        <v>1</v>
      </c>
      <c r="J5" s="17">
        <f t="shared" si="2"/>
        <v>1</v>
      </c>
      <c r="K5" s="17">
        <f t="shared" si="3"/>
        <v>0</v>
      </c>
      <c r="L5" s="17">
        <f t="shared" si="4"/>
        <v>0</v>
      </c>
      <c r="M5" s="17">
        <f t="shared" si="0"/>
        <v>0</v>
      </c>
      <c r="N5" s="17">
        <f t="shared" si="5"/>
        <v>0</v>
      </c>
      <c r="O5" s="18">
        <f t="shared" si="6"/>
        <v>0</v>
      </c>
      <c r="P5" s="18">
        <f t="shared" si="7"/>
        <v>0</v>
      </c>
      <c r="Q5" s="18">
        <f t="shared" si="8"/>
        <v>0</v>
      </c>
      <c r="R5" s="18">
        <f t="shared" si="9"/>
        <v>0</v>
      </c>
      <c r="S5" s="18">
        <f t="shared" si="10"/>
        <v>0</v>
      </c>
      <c r="T5" s="18">
        <f t="shared" si="11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15"/>
        <v>0</v>
      </c>
      <c r="Y5" s="17">
        <f t="shared" si="16"/>
        <v>0</v>
      </c>
      <c r="Z5" s="17">
        <f t="shared" si="17"/>
        <v>0</v>
      </c>
      <c r="AA5" s="18">
        <f t="shared" si="18"/>
        <v>0</v>
      </c>
      <c r="AB5" s="18">
        <f t="shared" si="19"/>
        <v>0</v>
      </c>
      <c r="AC5" s="18">
        <f t="shared" si="20"/>
        <v>0</v>
      </c>
      <c r="AD5" s="18">
        <f t="shared" si="21"/>
        <v>0</v>
      </c>
      <c r="AE5" s="18">
        <f t="shared" si="22"/>
        <v>0</v>
      </c>
      <c r="AF5" s="18">
        <f t="shared" si="23"/>
        <v>0</v>
      </c>
      <c r="AG5" s="17">
        <f t="shared" si="24"/>
        <v>0</v>
      </c>
      <c r="AH5" s="17">
        <f t="shared" si="25"/>
        <v>0</v>
      </c>
      <c r="AI5" s="17">
        <f t="shared" si="26"/>
        <v>0</v>
      </c>
      <c r="AJ5" s="17">
        <f t="shared" si="27"/>
        <v>0</v>
      </c>
      <c r="AK5" s="17">
        <f t="shared" si="28"/>
        <v>0</v>
      </c>
      <c r="AL5" s="17">
        <f t="shared" si="29"/>
        <v>0</v>
      </c>
      <c r="AM5" s="18">
        <f t="shared" si="30"/>
        <v>0</v>
      </c>
      <c r="AN5" s="18">
        <f t="shared" si="31"/>
        <v>0</v>
      </c>
      <c r="AO5" s="18">
        <f t="shared" si="32"/>
        <v>0</v>
      </c>
      <c r="AP5" s="18">
        <f t="shared" si="33"/>
        <v>0</v>
      </c>
      <c r="AQ5" s="18">
        <f t="shared" si="34"/>
        <v>0</v>
      </c>
      <c r="AR5" s="18">
        <f t="shared" si="35"/>
        <v>0</v>
      </c>
      <c r="AS5" s="17">
        <f t="shared" si="36"/>
        <v>0</v>
      </c>
      <c r="AT5" s="17">
        <f t="shared" si="37"/>
        <v>0</v>
      </c>
      <c r="AU5" s="17">
        <f t="shared" si="38"/>
        <v>0</v>
      </c>
      <c r="AV5" s="17">
        <f t="shared" si="39"/>
        <v>0</v>
      </c>
      <c r="AW5" s="17">
        <f t="shared" si="40"/>
        <v>0</v>
      </c>
      <c r="AX5" s="17">
        <f t="shared" si="41"/>
        <v>0</v>
      </c>
      <c r="AY5" s="18">
        <f t="shared" si="42"/>
        <v>0</v>
      </c>
      <c r="AZ5" s="18">
        <f t="shared" si="43"/>
        <v>0</v>
      </c>
      <c r="BA5" s="18">
        <f t="shared" si="44"/>
        <v>0</v>
      </c>
      <c r="BB5" s="18">
        <f t="shared" si="45"/>
        <v>0</v>
      </c>
      <c r="BC5" s="18">
        <f t="shared" si="46"/>
        <v>0</v>
      </c>
      <c r="BD5" s="18">
        <f t="shared" si="47"/>
        <v>0</v>
      </c>
    </row>
    <row r="6" spans="1:56" x14ac:dyDescent="0.3">
      <c r="A6" t="str">
        <f>'Raw Rejection Data'!B7</f>
        <v>Greenhouse</v>
      </c>
      <c r="B6" s="6">
        <f>IF(ISNUMBER(SEARCH("align",'Raw Rejection Data'!$G7)),1,0)</f>
        <v>0</v>
      </c>
      <c r="C6" s="6">
        <f>IF(ISNUMBER(SEARCH("*mov*",'Raw Rejection Data'!$G7)),1,0)</f>
        <v>1</v>
      </c>
      <c r="D6" s="6">
        <f>IF(ISNUMBER(SEARCH("closer match",'Raw Rejection Data'!$G7)),1,0)</f>
        <v>0</v>
      </c>
      <c r="E6" s="6">
        <f>IF(ISNUMBER(SEARCH("better meet",'Raw Rejection Data'!$G7)),1,0)</f>
        <v>0</v>
      </c>
      <c r="F6" s="6">
        <f>IF(ISNUMBER(SEARCH("filled",'Raw Rejection Data'!$G7)),1,0)</f>
        <v>0</v>
      </c>
      <c r="G6" s="6">
        <f>IF(ISNUMBER(SEARCH("*pursue other*",'Raw Rejection Data'!$G7)),1,0)</f>
        <v>0</v>
      </c>
      <c r="I6" s="17">
        <f t="shared" si="1"/>
        <v>0</v>
      </c>
      <c r="J6" s="17">
        <f t="shared" si="2"/>
        <v>1</v>
      </c>
      <c r="K6" s="17">
        <f t="shared" si="3"/>
        <v>0</v>
      </c>
      <c r="L6" s="17">
        <f t="shared" si="4"/>
        <v>0</v>
      </c>
      <c r="M6" s="17">
        <f t="shared" si="0"/>
        <v>0</v>
      </c>
      <c r="N6" s="17">
        <f t="shared" si="5"/>
        <v>0</v>
      </c>
      <c r="O6" s="18">
        <f t="shared" si="6"/>
        <v>0</v>
      </c>
      <c r="P6" s="18">
        <f t="shared" si="7"/>
        <v>0</v>
      </c>
      <c r="Q6" s="18">
        <f t="shared" si="8"/>
        <v>0</v>
      </c>
      <c r="R6" s="18">
        <f t="shared" si="9"/>
        <v>0</v>
      </c>
      <c r="S6" s="18">
        <f t="shared" si="10"/>
        <v>0</v>
      </c>
      <c r="T6" s="18">
        <f t="shared" si="11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15"/>
        <v>0</v>
      </c>
      <c r="Y6" s="17">
        <f t="shared" si="16"/>
        <v>0</v>
      </c>
      <c r="Z6" s="17">
        <f t="shared" si="17"/>
        <v>0</v>
      </c>
      <c r="AA6" s="18">
        <f t="shared" si="18"/>
        <v>0</v>
      </c>
      <c r="AB6" s="18">
        <f t="shared" si="19"/>
        <v>0</v>
      </c>
      <c r="AC6" s="18">
        <f t="shared" si="20"/>
        <v>0</v>
      </c>
      <c r="AD6" s="18">
        <f t="shared" si="21"/>
        <v>0</v>
      </c>
      <c r="AE6" s="18">
        <f t="shared" si="22"/>
        <v>0</v>
      </c>
      <c r="AF6" s="18">
        <f t="shared" si="23"/>
        <v>0</v>
      </c>
      <c r="AG6" s="17">
        <f t="shared" si="24"/>
        <v>0</v>
      </c>
      <c r="AH6" s="17">
        <f t="shared" si="25"/>
        <v>0</v>
      </c>
      <c r="AI6" s="17">
        <f t="shared" si="26"/>
        <v>0</v>
      </c>
      <c r="AJ6" s="17">
        <f t="shared" si="27"/>
        <v>0</v>
      </c>
      <c r="AK6" s="17">
        <f t="shared" si="28"/>
        <v>0</v>
      </c>
      <c r="AL6" s="17">
        <f t="shared" si="29"/>
        <v>0</v>
      </c>
      <c r="AM6" s="18">
        <f t="shared" si="30"/>
        <v>0</v>
      </c>
      <c r="AN6" s="18">
        <f t="shared" si="31"/>
        <v>0</v>
      </c>
      <c r="AO6" s="18">
        <f t="shared" si="32"/>
        <v>0</v>
      </c>
      <c r="AP6" s="18">
        <f t="shared" si="33"/>
        <v>0</v>
      </c>
      <c r="AQ6" s="18">
        <f t="shared" si="34"/>
        <v>0</v>
      </c>
      <c r="AR6" s="18">
        <f t="shared" si="35"/>
        <v>0</v>
      </c>
      <c r="AS6" s="17">
        <f t="shared" si="36"/>
        <v>0</v>
      </c>
      <c r="AT6" s="17">
        <f t="shared" si="37"/>
        <v>0</v>
      </c>
      <c r="AU6" s="17">
        <f t="shared" si="38"/>
        <v>0</v>
      </c>
      <c r="AV6" s="17">
        <f t="shared" si="39"/>
        <v>0</v>
      </c>
      <c r="AW6" s="17">
        <f t="shared" si="40"/>
        <v>0</v>
      </c>
      <c r="AX6" s="17">
        <f t="shared" si="41"/>
        <v>0</v>
      </c>
      <c r="AY6" s="18">
        <f t="shared" si="42"/>
        <v>0</v>
      </c>
      <c r="AZ6" s="18">
        <f t="shared" si="43"/>
        <v>0</v>
      </c>
      <c r="BA6" s="18">
        <f t="shared" si="44"/>
        <v>0</v>
      </c>
      <c r="BB6" s="18">
        <f t="shared" si="45"/>
        <v>0</v>
      </c>
      <c r="BC6" s="18">
        <f t="shared" si="46"/>
        <v>0</v>
      </c>
      <c r="BD6" s="18">
        <f t="shared" si="47"/>
        <v>0</v>
      </c>
    </row>
    <row r="7" spans="1:56" x14ac:dyDescent="0.3">
      <c r="A7" t="str">
        <f>'Raw Rejection Data'!B8</f>
        <v>ICIMS</v>
      </c>
      <c r="B7" s="6">
        <f>IF(ISNUMBER(SEARCH("align",'Raw Rejection Data'!$G8)),1,0)</f>
        <v>0</v>
      </c>
      <c r="C7" s="6">
        <f>IF(ISNUMBER(SEARCH("*mov*",'Raw Rejection Data'!$G8)),1,0)</f>
        <v>1</v>
      </c>
      <c r="D7" s="6">
        <f>IF(ISNUMBER(SEARCH("closer match",'Raw Rejection Data'!$G8)),1,0)</f>
        <v>0</v>
      </c>
      <c r="E7" s="6">
        <f>IF(ISNUMBER(SEARCH("better meet",'Raw Rejection Data'!$G8)),1,0)</f>
        <v>0</v>
      </c>
      <c r="F7" s="6">
        <f>IF(ISNUMBER(SEARCH("filled",'Raw Rejection Data'!$G8)),1,0)</f>
        <v>0</v>
      </c>
      <c r="G7" s="6">
        <f>IF(ISNUMBER(SEARCH("*pursue other*",'Raw Rejection Data'!$G8)),1,0)</f>
        <v>0</v>
      </c>
      <c r="I7" s="17">
        <f t="shared" si="1"/>
        <v>0</v>
      </c>
      <c r="J7" s="17">
        <f t="shared" si="2"/>
        <v>0</v>
      </c>
      <c r="K7" s="17">
        <f t="shared" si="3"/>
        <v>0</v>
      </c>
      <c r="L7" s="17">
        <f t="shared" si="4"/>
        <v>0</v>
      </c>
      <c r="M7" s="17">
        <f t="shared" si="0"/>
        <v>0</v>
      </c>
      <c r="N7" s="17">
        <f t="shared" si="5"/>
        <v>0</v>
      </c>
      <c r="O7" s="18">
        <f t="shared" si="6"/>
        <v>0</v>
      </c>
      <c r="P7" s="18">
        <f t="shared" si="7"/>
        <v>1</v>
      </c>
      <c r="Q7" s="18">
        <f t="shared" si="8"/>
        <v>0</v>
      </c>
      <c r="R7" s="18">
        <f t="shared" si="9"/>
        <v>0</v>
      </c>
      <c r="S7" s="18">
        <f t="shared" si="10"/>
        <v>0</v>
      </c>
      <c r="T7" s="18">
        <f t="shared" si="11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15"/>
        <v>0</v>
      </c>
      <c r="Y7" s="17">
        <f t="shared" si="16"/>
        <v>0</v>
      </c>
      <c r="Z7" s="17">
        <f t="shared" si="17"/>
        <v>0</v>
      </c>
      <c r="AA7" s="18">
        <f t="shared" si="18"/>
        <v>0</v>
      </c>
      <c r="AB7" s="18">
        <f t="shared" si="19"/>
        <v>0</v>
      </c>
      <c r="AC7" s="18">
        <f t="shared" si="20"/>
        <v>0</v>
      </c>
      <c r="AD7" s="18">
        <f t="shared" si="21"/>
        <v>0</v>
      </c>
      <c r="AE7" s="18">
        <f t="shared" si="22"/>
        <v>0</v>
      </c>
      <c r="AF7" s="18">
        <f t="shared" si="23"/>
        <v>0</v>
      </c>
      <c r="AG7" s="17">
        <f t="shared" si="24"/>
        <v>0</v>
      </c>
      <c r="AH7" s="17">
        <f t="shared" si="25"/>
        <v>0</v>
      </c>
      <c r="AI7" s="17">
        <f t="shared" si="26"/>
        <v>0</v>
      </c>
      <c r="AJ7" s="17">
        <f t="shared" si="27"/>
        <v>0</v>
      </c>
      <c r="AK7" s="17">
        <f t="shared" si="28"/>
        <v>0</v>
      </c>
      <c r="AL7" s="17">
        <f t="shared" si="29"/>
        <v>0</v>
      </c>
      <c r="AM7" s="18">
        <f t="shared" si="30"/>
        <v>0</v>
      </c>
      <c r="AN7" s="18">
        <f t="shared" si="31"/>
        <v>0</v>
      </c>
      <c r="AO7" s="18">
        <f t="shared" si="32"/>
        <v>0</v>
      </c>
      <c r="AP7" s="18">
        <f t="shared" si="33"/>
        <v>0</v>
      </c>
      <c r="AQ7" s="18">
        <f t="shared" si="34"/>
        <v>0</v>
      </c>
      <c r="AR7" s="18">
        <f t="shared" si="35"/>
        <v>0</v>
      </c>
      <c r="AS7" s="17">
        <f t="shared" si="36"/>
        <v>0</v>
      </c>
      <c r="AT7" s="17">
        <f t="shared" si="37"/>
        <v>0</v>
      </c>
      <c r="AU7" s="17">
        <f t="shared" si="38"/>
        <v>0</v>
      </c>
      <c r="AV7" s="17">
        <f t="shared" si="39"/>
        <v>0</v>
      </c>
      <c r="AW7" s="17">
        <f t="shared" si="40"/>
        <v>0</v>
      </c>
      <c r="AX7" s="17">
        <f t="shared" si="41"/>
        <v>0</v>
      </c>
      <c r="AY7" s="18">
        <f t="shared" si="42"/>
        <v>0</v>
      </c>
      <c r="AZ7" s="18">
        <f t="shared" si="43"/>
        <v>0</v>
      </c>
      <c r="BA7" s="18">
        <f t="shared" si="44"/>
        <v>0</v>
      </c>
      <c r="BB7" s="18">
        <f t="shared" si="45"/>
        <v>0</v>
      </c>
      <c r="BC7" s="18">
        <f t="shared" si="46"/>
        <v>0</v>
      </c>
      <c r="BD7" s="18">
        <f t="shared" si="47"/>
        <v>0</v>
      </c>
    </row>
    <row r="8" spans="1:56" x14ac:dyDescent="0.3">
      <c r="A8" t="str">
        <f>'Raw Rejection Data'!B9</f>
        <v>ICIMS</v>
      </c>
      <c r="B8" s="6">
        <f>IF(ISNUMBER(SEARCH("align",'Raw Rejection Data'!$G9)),1,0)</f>
        <v>0</v>
      </c>
      <c r="C8" s="6">
        <f>IF(ISNUMBER(SEARCH("*mov*",'Raw Rejection Data'!$G9)),1,0)</f>
        <v>0</v>
      </c>
      <c r="D8" s="6">
        <f>IF(ISNUMBER(SEARCH("closer match",'Raw Rejection Data'!$G9)),1,0)</f>
        <v>0</v>
      </c>
      <c r="E8" s="6">
        <f>IF(ISNUMBER(SEARCH("better meet",'Raw Rejection Data'!$G9)),1,0)</f>
        <v>0</v>
      </c>
      <c r="F8" s="6">
        <f>IF(ISNUMBER(SEARCH("filled",'Raw Rejection Data'!$G9)),1,0)</f>
        <v>1</v>
      </c>
      <c r="G8" s="6">
        <f>IF(ISNUMBER(SEARCH("*pursue other*",'Raw Rejection Data'!$G9)),1,0)</f>
        <v>0</v>
      </c>
      <c r="I8" s="17">
        <f t="shared" si="1"/>
        <v>0</v>
      </c>
      <c r="J8" s="17">
        <f t="shared" si="2"/>
        <v>0</v>
      </c>
      <c r="K8" s="17">
        <f t="shared" si="3"/>
        <v>0</v>
      </c>
      <c r="L8" s="17">
        <f t="shared" si="4"/>
        <v>0</v>
      </c>
      <c r="M8" s="17">
        <f t="shared" si="0"/>
        <v>0</v>
      </c>
      <c r="N8" s="17">
        <f t="shared" si="5"/>
        <v>0</v>
      </c>
      <c r="O8" s="18">
        <f t="shared" si="6"/>
        <v>0</v>
      </c>
      <c r="P8" s="18">
        <f t="shared" si="7"/>
        <v>0</v>
      </c>
      <c r="Q8" s="18">
        <f t="shared" si="8"/>
        <v>0</v>
      </c>
      <c r="R8" s="18">
        <f t="shared" si="9"/>
        <v>0</v>
      </c>
      <c r="S8" s="18">
        <f t="shared" si="10"/>
        <v>1</v>
      </c>
      <c r="T8" s="18">
        <f t="shared" si="11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15"/>
        <v>0</v>
      </c>
      <c r="Y8" s="17">
        <f t="shared" si="16"/>
        <v>0</v>
      </c>
      <c r="Z8" s="17">
        <f t="shared" si="17"/>
        <v>0</v>
      </c>
      <c r="AA8" s="18">
        <f t="shared" si="18"/>
        <v>0</v>
      </c>
      <c r="AB8" s="18">
        <f t="shared" si="19"/>
        <v>0</v>
      </c>
      <c r="AC8" s="18">
        <f t="shared" si="20"/>
        <v>0</v>
      </c>
      <c r="AD8" s="18">
        <f t="shared" si="21"/>
        <v>0</v>
      </c>
      <c r="AE8" s="18">
        <f t="shared" si="22"/>
        <v>0</v>
      </c>
      <c r="AF8" s="18">
        <f t="shared" si="23"/>
        <v>0</v>
      </c>
      <c r="AG8" s="17">
        <f t="shared" si="24"/>
        <v>0</v>
      </c>
      <c r="AH8" s="17">
        <f t="shared" si="25"/>
        <v>0</v>
      </c>
      <c r="AI8" s="17">
        <f t="shared" si="26"/>
        <v>0</v>
      </c>
      <c r="AJ8" s="17">
        <f t="shared" si="27"/>
        <v>0</v>
      </c>
      <c r="AK8" s="17">
        <f t="shared" si="28"/>
        <v>0</v>
      </c>
      <c r="AL8" s="17">
        <f t="shared" si="29"/>
        <v>0</v>
      </c>
      <c r="AM8" s="18">
        <f t="shared" si="30"/>
        <v>0</v>
      </c>
      <c r="AN8" s="18">
        <f t="shared" si="31"/>
        <v>0</v>
      </c>
      <c r="AO8" s="18">
        <f t="shared" si="32"/>
        <v>0</v>
      </c>
      <c r="AP8" s="18">
        <f t="shared" si="33"/>
        <v>0</v>
      </c>
      <c r="AQ8" s="18">
        <f t="shared" si="34"/>
        <v>0</v>
      </c>
      <c r="AR8" s="18">
        <f t="shared" si="35"/>
        <v>0</v>
      </c>
      <c r="AS8" s="17">
        <f t="shared" si="36"/>
        <v>0</v>
      </c>
      <c r="AT8" s="17">
        <f t="shared" si="37"/>
        <v>0</v>
      </c>
      <c r="AU8" s="17">
        <f t="shared" si="38"/>
        <v>0</v>
      </c>
      <c r="AV8" s="17">
        <f t="shared" si="39"/>
        <v>0</v>
      </c>
      <c r="AW8" s="17">
        <f t="shared" si="40"/>
        <v>0</v>
      </c>
      <c r="AX8" s="17">
        <f t="shared" si="41"/>
        <v>0</v>
      </c>
      <c r="AY8" s="18">
        <f t="shared" si="42"/>
        <v>0</v>
      </c>
      <c r="AZ8" s="18">
        <f t="shared" si="43"/>
        <v>0</v>
      </c>
      <c r="BA8" s="18">
        <f t="shared" si="44"/>
        <v>0</v>
      </c>
      <c r="BB8" s="18">
        <f t="shared" si="45"/>
        <v>0</v>
      </c>
      <c r="BC8" s="18">
        <f t="shared" si="46"/>
        <v>0</v>
      </c>
      <c r="BD8" s="18">
        <f t="shared" si="47"/>
        <v>0</v>
      </c>
    </row>
    <row r="9" spans="1:56" x14ac:dyDescent="0.3">
      <c r="A9" t="str">
        <f>'Raw Rejection Data'!B10</f>
        <v>Workday</v>
      </c>
      <c r="B9" s="6">
        <f>IF(ISNUMBER(SEARCH("align",'Raw Rejection Data'!$G10)),1,0)</f>
        <v>0</v>
      </c>
      <c r="C9" s="6">
        <f>IF(ISNUMBER(SEARCH("*mov*",'Raw Rejection Data'!$G10)),1,0)</f>
        <v>1</v>
      </c>
      <c r="D9" s="6">
        <f>IF(ISNUMBER(SEARCH("closer match",'Raw Rejection Data'!$G10)),1,0)</f>
        <v>0</v>
      </c>
      <c r="E9" s="6">
        <f>IF(ISNUMBER(SEARCH("better meet",'Raw Rejection Data'!$G10)),1,0)</f>
        <v>0</v>
      </c>
      <c r="F9" s="6">
        <f>IF(ISNUMBER(SEARCH("filled",'Raw Rejection Data'!$G10)),1,0)</f>
        <v>0</v>
      </c>
      <c r="G9" s="6">
        <f>IF(ISNUMBER(SEARCH("*pursue other*",'Raw Rejection Data'!$G10)),1,0)</f>
        <v>0</v>
      </c>
      <c r="I9" s="17">
        <f t="shared" si="1"/>
        <v>0</v>
      </c>
      <c r="J9" s="17">
        <f t="shared" si="2"/>
        <v>0</v>
      </c>
      <c r="K9" s="17">
        <f t="shared" si="3"/>
        <v>0</v>
      </c>
      <c r="L9" s="17">
        <f t="shared" si="4"/>
        <v>0</v>
      </c>
      <c r="M9" s="17">
        <f t="shared" si="0"/>
        <v>0</v>
      </c>
      <c r="N9" s="17">
        <f t="shared" si="5"/>
        <v>0</v>
      </c>
      <c r="O9" s="18">
        <f t="shared" si="6"/>
        <v>0</v>
      </c>
      <c r="P9" s="18">
        <f t="shared" si="7"/>
        <v>0</v>
      </c>
      <c r="Q9" s="18">
        <f t="shared" si="8"/>
        <v>0</v>
      </c>
      <c r="R9" s="18">
        <f t="shared" si="9"/>
        <v>0</v>
      </c>
      <c r="S9" s="18">
        <f t="shared" si="10"/>
        <v>0</v>
      </c>
      <c r="T9" s="18">
        <f t="shared" si="11"/>
        <v>0</v>
      </c>
      <c r="U9" s="17">
        <f t="shared" si="12"/>
        <v>0</v>
      </c>
      <c r="V9" s="17">
        <f t="shared" si="13"/>
        <v>1</v>
      </c>
      <c r="W9" s="17">
        <f t="shared" si="14"/>
        <v>0</v>
      </c>
      <c r="X9" s="17">
        <f t="shared" si="15"/>
        <v>0</v>
      </c>
      <c r="Y9" s="17">
        <f t="shared" si="16"/>
        <v>0</v>
      </c>
      <c r="Z9" s="17">
        <f t="shared" si="17"/>
        <v>0</v>
      </c>
      <c r="AA9" s="18">
        <f t="shared" si="18"/>
        <v>0</v>
      </c>
      <c r="AB9" s="18">
        <f t="shared" si="19"/>
        <v>0</v>
      </c>
      <c r="AC9" s="18">
        <f t="shared" si="20"/>
        <v>0</v>
      </c>
      <c r="AD9" s="18">
        <f t="shared" si="21"/>
        <v>0</v>
      </c>
      <c r="AE9" s="18">
        <f t="shared" si="22"/>
        <v>0</v>
      </c>
      <c r="AF9" s="18">
        <f t="shared" si="23"/>
        <v>0</v>
      </c>
      <c r="AG9" s="17">
        <f t="shared" si="24"/>
        <v>0</v>
      </c>
      <c r="AH9" s="17">
        <f t="shared" si="25"/>
        <v>0</v>
      </c>
      <c r="AI9" s="17">
        <f t="shared" si="26"/>
        <v>0</v>
      </c>
      <c r="AJ9" s="17">
        <f t="shared" si="27"/>
        <v>0</v>
      </c>
      <c r="AK9" s="17">
        <f t="shared" si="28"/>
        <v>0</v>
      </c>
      <c r="AL9" s="17">
        <f t="shared" si="29"/>
        <v>0</v>
      </c>
      <c r="AM9" s="18">
        <f t="shared" si="30"/>
        <v>0</v>
      </c>
      <c r="AN9" s="18">
        <f t="shared" si="31"/>
        <v>0</v>
      </c>
      <c r="AO9" s="18">
        <f t="shared" si="32"/>
        <v>0</v>
      </c>
      <c r="AP9" s="18">
        <f t="shared" si="33"/>
        <v>0</v>
      </c>
      <c r="AQ9" s="18">
        <f t="shared" si="34"/>
        <v>0</v>
      </c>
      <c r="AR9" s="18">
        <f t="shared" si="35"/>
        <v>0</v>
      </c>
      <c r="AS9" s="17">
        <f t="shared" si="36"/>
        <v>0</v>
      </c>
      <c r="AT9" s="17">
        <f t="shared" si="37"/>
        <v>0</v>
      </c>
      <c r="AU9" s="17">
        <f t="shared" si="38"/>
        <v>0</v>
      </c>
      <c r="AV9" s="17">
        <f t="shared" si="39"/>
        <v>0</v>
      </c>
      <c r="AW9" s="17">
        <f t="shared" si="40"/>
        <v>0</v>
      </c>
      <c r="AX9" s="17">
        <f t="shared" si="41"/>
        <v>0</v>
      </c>
      <c r="AY9" s="18">
        <f t="shared" si="42"/>
        <v>0</v>
      </c>
      <c r="AZ9" s="18">
        <f t="shared" si="43"/>
        <v>0</v>
      </c>
      <c r="BA9" s="18">
        <f t="shared" si="44"/>
        <v>0</v>
      </c>
      <c r="BB9" s="18">
        <f t="shared" si="45"/>
        <v>0</v>
      </c>
      <c r="BC9" s="18">
        <f t="shared" si="46"/>
        <v>0</v>
      </c>
      <c r="BD9" s="18">
        <f t="shared" si="47"/>
        <v>0</v>
      </c>
    </row>
    <row r="10" spans="1:56" x14ac:dyDescent="0.3">
      <c r="A10" t="str">
        <f>'Raw Rejection Data'!B11</f>
        <v>Workday</v>
      </c>
      <c r="B10" s="6">
        <f>IF(ISNUMBER(SEARCH("align",'Raw Rejection Data'!$G11)),1,0)</f>
        <v>0</v>
      </c>
      <c r="C10" s="6">
        <f>IF(ISNUMBER(SEARCH("*mov*",'Raw Rejection Data'!$G11)),1,0)</f>
        <v>0</v>
      </c>
      <c r="D10" s="6">
        <f>IF(ISNUMBER(SEARCH("closer match",'Raw Rejection Data'!$G11)),1,0)</f>
        <v>0</v>
      </c>
      <c r="E10" s="6">
        <f>IF(ISNUMBER(SEARCH("better meet",'Raw Rejection Data'!$G11)),1,0)</f>
        <v>0</v>
      </c>
      <c r="F10" s="6">
        <f>IF(ISNUMBER(SEARCH("filled",'Raw Rejection Data'!$G11)),1,0)</f>
        <v>0</v>
      </c>
      <c r="G10" s="6">
        <f>IF(ISNUMBER(SEARCH("*pursue other*",'Raw Rejection Data'!$G11)),1,0)</f>
        <v>1</v>
      </c>
      <c r="I10" s="17">
        <f t="shared" si="1"/>
        <v>0</v>
      </c>
      <c r="J10" s="17">
        <f t="shared" si="2"/>
        <v>0</v>
      </c>
      <c r="K10" s="17">
        <f t="shared" si="3"/>
        <v>0</v>
      </c>
      <c r="L10" s="17">
        <f t="shared" si="4"/>
        <v>0</v>
      </c>
      <c r="M10" s="17">
        <f t="shared" si="0"/>
        <v>0</v>
      </c>
      <c r="N10" s="17">
        <f t="shared" si="5"/>
        <v>0</v>
      </c>
      <c r="O10" s="18">
        <f t="shared" si="6"/>
        <v>0</v>
      </c>
      <c r="P10" s="18">
        <f t="shared" si="7"/>
        <v>0</v>
      </c>
      <c r="Q10" s="18">
        <f t="shared" si="8"/>
        <v>0</v>
      </c>
      <c r="R10" s="18">
        <f t="shared" si="9"/>
        <v>0</v>
      </c>
      <c r="S10" s="18">
        <f t="shared" si="10"/>
        <v>0</v>
      </c>
      <c r="T10" s="18">
        <f t="shared" si="11"/>
        <v>0</v>
      </c>
      <c r="U10" s="17">
        <f t="shared" si="12"/>
        <v>0</v>
      </c>
      <c r="V10" s="17">
        <f t="shared" si="13"/>
        <v>0</v>
      </c>
      <c r="W10" s="17">
        <f t="shared" si="14"/>
        <v>0</v>
      </c>
      <c r="X10" s="17">
        <f t="shared" si="15"/>
        <v>0</v>
      </c>
      <c r="Y10" s="17">
        <f t="shared" si="16"/>
        <v>0</v>
      </c>
      <c r="Z10" s="17">
        <f t="shared" si="17"/>
        <v>1</v>
      </c>
      <c r="AA10" s="18">
        <f t="shared" si="18"/>
        <v>0</v>
      </c>
      <c r="AB10" s="18">
        <f t="shared" si="19"/>
        <v>0</v>
      </c>
      <c r="AC10" s="18">
        <f t="shared" si="20"/>
        <v>0</v>
      </c>
      <c r="AD10" s="18">
        <f t="shared" si="21"/>
        <v>0</v>
      </c>
      <c r="AE10" s="18">
        <f t="shared" si="22"/>
        <v>0</v>
      </c>
      <c r="AF10" s="18">
        <f t="shared" si="23"/>
        <v>0</v>
      </c>
      <c r="AG10" s="17">
        <f t="shared" si="24"/>
        <v>0</v>
      </c>
      <c r="AH10" s="17">
        <f t="shared" si="25"/>
        <v>0</v>
      </c>
      <c r="AI10" s="17">
        <f t="shared" si="26"/>
        <v>0</v>
      </c>
      <c r="AJ10" s="17">
        <f t="shared" si="27"/>
        <v>0</v>
      </c>
      <c r="AK10" s="17">
        <f t="shared" si="28"/>
        <v>0</v>
      </c>
      <c r="AL10" s="17">
        <f t="shared" si="29"/>
        <v>0</v>
      </c>
      <c r="AM10" s="18">
        <f t="shared" si="30"/>
        <v>0</v>
      </c>
      <c r="AN10" s="18">
        <f t="shared" si="31"/>
        <v>0</v>
      </c>
      <c r="AO10" s="18">
        <f t="shared" si="32"/>
        <v>0</v>
      </c>
      <c r="AP10" s="18">
        <f t="shared" si="33"/>
        <v>0</v>
      </c>
      <c r="AQ10" s="18">
        <f t="shared" si="34"/>
        <v>0</v>
      </c>
      <c r="AR10" s="18">
        <f t="shared" si="35"/>
        <v>0</v>
      </c>
      <c r="AS10" s="17">
        <f t="shared" si="36"/>
        <v>0</v>
      </c>
      <c r="AT10" s="17">
        <f t="shared" si="37"/>
        <v>0</v>
      </c>
      <c r="AU10" s="17">
        <f t="shared" si="38"/>
        <v>0</v>
      </c>
      <c r="AV10" s="17">
        <f t="shared" si="39"/>
        <v>0</v>
      </c>
      <c r="AW10" s="17">
        <f t="shared" si="40"/>
        <v>0</v>
      </c>
      <c r="AX10" s="17">
        <f t="shared" si="41"/>
        <v>0</v>
      </c>
      <c r="AY10" s="18">
        <f t="shared" si="42"/>
        <v>0</v>
      </c>
      <c r="AZ10" s="18">
        <f t="shared" si="43"/>
        <v>0</v>
      </c>
      <c r="BA10" s="18">
        <f t="shared" si="44"/>
        <v>0</v>
      </c>
      <c r="BB10" s="18">
        <f t="shared" si="45"/>
        <v>0</v>
      </c>
      <c r="BC10" s="18">
        <f t="shared" si="46"/>
        <v>0</v>
      </c>
      <c r="BD10" s="18">
        <f t="shared" si="47"/>
        <v>0</v>
      </c>
    </row>
    <row r="11" spans="1:56" x14ac:dyDescent="0.3">
      <c r="A11" t="str">
        <f>'Raw Rejection Data'!B12</f>
        <v>Workday</v>
      </c>
      <c r="B11" s="6">
        <f>IF(ISNUMBER(SEARCH("align",'Raw Rejection Data'!$G12)),1,0)</f>
        <v>0</v>
      </c>
      <c r="C11" s="6">
        <f>IF(ISNUMBER(SEARCH("*mov*",'Raw Rejection Data'!$G12)),1,0)</f>
        <v>1</v>
      </c>
      <c r="D11" s="6">
        <f>IF(ISNUMBER(SEARCH("closer match",'Raw Rejection Data'!$G12)),1,0)</f>
        <v>0</v>
      </c>
      <c r="E11" s="6">
        <f>IF(ISNUMBER(SEARCH("better meet",'Raw Rejection Data'!$G12)),1,0)</f>
        <v>1</v>
      </c>
      <c r="F11" s="6">
        <f>IF(ISNUMBER(SEARCH("filled",'Raw Rejection Data'!$G12)),1,0)</f>
        <v>0</v>
      </c>
      <c r="G11" s="6">
        <f>IF(ISNUMBER(SEARCH("*pursue other*",'Raw Rejection Data'!$G12)),1,0)</f>
        <v>0</v>
      </c>
      <c r="I11" s="17">
        <f t="shared" si="1"/>
        <v>0</v>
      </c>
      <c r="J11" s="17">
        <f t="shared" si="2"/>
        <v>0</v>
      </c>
      <c r="K11" s="17">
        <f t="shared" si="3"/>
        <v>0</v>
      </c>
      <c r="L11" s="17">
        <f t="shared" si="4"/>
        <v>0</v>
      </c>
      <c r="M11" s="17">
        <f t="shared" si="0"/>
        <v>0</v>
      </c>
      <c r="N11" s="17">
        <f t="shared" si="5"/>
        <v>0</v>
      </c>
      <c r="O11" s="18">
        <f t="shared" si="6"/>
        <v>0</v>
      </c>
      <c r="P11" s="18">
        <f t="shared" si="7"/>
        <v>0</v>
      </c>
      <c r="Q11" s="18">
        <f t="shared" si="8"/>
        <v>0</v>
      </c>
      <c r="R11" s="18">
        <f t="shared" si="9"/>
        <v>0</v>
      </c>
      <c r="S11" s="18">
        <f t="shared" si="10"/>
        <v>0</v>
      </c>
      <c r="T11" s="18">
        <f t="shared" si="11"/>
        <v>0</v>
      </c>
      <c r="U11" s="17">
        <f t="shared" si="12"/>
        <v>0</v>
      </c>
      <c r="V11" s="17">
        <f t="shared" si="13"/>
        <v>1</v>
      </c>
      <c r="W11" s="17">
        <f t="shared" si="14"/>
        <v>0</v>
      </c>
      <c r="X11" s="17">
        <f t="shared" si="15"/>
        <v>1</v>
      </c>
      <c r="Y11" s="17">
        <f t="shared" si="16"/>
        <v>0</v>
      </c>
      <c r="Z11" s="17">
        <f t="shared" si="17"/>
        <v>0</v>
      </c>
      <c r="AA11" s="18">
        <f t="shared" si="18"/>
        <v>0</v>
      </c>
      <c r="AB11" s="18">
        <f t="shared" si="19"/>
        <v>0</v>
      </c>
      <c r="AC11" s="18">
        <f t="shared" si="20"/>
        <v>0</v>
      </c>
      <c r="AD11" s="18">
        <f t="shared" si="21"/>
        <v>0</v>
      </c>
      <c r="AE11" s="18">
        <f t="shared" si="22"/>
        <v>0</v>
      </c>
      <c r="AF11" s="18">
        <f t="shared" si="23"/>
        <v>0</v>
      </c>
      <c r="AG11" s="17">
        <f t="shared" si="24"/>
        <v>0</v>
      </c>
      <c r="AH11" s="17">
        <f t="shared" si="25"/>
        <v>0</v>
      </c>
      <c r="AI11" s="17">
        <f t="shared" si="26"/>
        <v>0</v>
      </c>
      <c r="AJ11" s="17">
        <f t="shared" si="27"/>
        <v>0</v>
      </c>
      <c r="AK11" s="17">
        <f t="shared" si="28"/>
        <v>0</v>
      </c>
      <c r="AL11" s="17">
        <f t="shared" si="29"/>
        <v>0</v>
      </c>
      <c r="AM11" s="18">
        <f t="shared" si="30"/>
        <v>0</v>
      </c>
      <c r="AN11" s="18">
        <f t="shared" si="31"/>
        <v>0</v>
      </c>
      <c r="AO11" s="18">
        <f t="shared" si="32"/>
        <v>0</v>
      </c>
      <c r="AP11" s="18">
        <f t="shared" si="33"/>
        <v>0</v>
      </c>
      <c r="AQ11" s="18">
        <f t="shared" si="34"/>
        <v>0</v>
      </c>
      <c r="AR11" s="18">
        <f t="shared" si="35"/>
        <v>0</v>
      </c>
      <c r="AS11" s="17">
        <f t="shared" si="36"/>
        <v>0</v>
      </c>
      <c r="AT11" s="17">
        <f t="shared" si="37"/>
        <v>0</v>
      </c>
      <c r="AU11" s="17">
        <f t="shared" si="38"/>
        <v>0</v>
      </c>
      <c r="AV11" s="17">
        <f t="shared" si="39"/>
        <v>0</v>
      </c>
      <c r="AW11" s="17">
        <f t="shared" si="40"/>
        <v>0</v>
      </c>
      <c r="AX11" s="17">
        <f t="shared" si="41"/>
        <v>0</v>
      </c>
      <c r="AY11" s="18">
        <f t="shared" si="42"/>
        <v>0</v>
      </c>
      <c r="AZ11" s="18">
        <f t="shared" si="43"/>
        <v>0</v>
      </c>
      <c r="BA11" s="18">
        <f t="shared" si="44"/>
        <v>0</v>
      </c>
      <c r="BB11" s="18">
        <f t="shared" si="45"/>
        <v>0</v>
      </c>
      <c r="BC11" s="18">
        <f t="shared" si="46"/>
        <v>0</v>
      </c>
      <c r="BD11" s="18">
        <f t="shared" si="47"/>
        <v>0</v>
      </c>
    </row>
    <row r="12" spans="1:56" x14ac:dyDescent="0.3">
      <c r="A12" t="str">
        <f>'Raw Rejection Data'!B13</f>
        <v>Workday</v>
      </c>
      <c r="B12" s="6">
        <f>IF(ISNUMBER(SEARCH("align",'Raw Rejection Data'!$G13)),1,0)</f>
        <v>0</v>
      </c>
      <c r="C12" s="6">
        <f>IF(ISNUMBER(SEARCH("*mov*",'Raw Rejection Data'!$G13)),1,0)</f>
        <v>1</v>
      </c>
      <c r="D12" s="6">
        <f>IF(ISNUMBER(SEARCH("closer match",'Raw Rejection Data'!$G13)),1,0)</f>
        <v>0</v>
      </c>
      <c r="E12" s="6">
        <f>IF(ISNUMBER(SEARCH("better meet",'Raw Rejection Data'!$G13)),1,0)</f>
        <v>0</v>
      </c>
      <c r="F12" s="6">
        <f>IF(ISNUMBER(SEARCH("filled",'Raw Rejection Data'!$G13)),1,0)</f>
        <v>0</v>
      </c>
      <c r="G12" s="6">
        <f>IF(ISNUMBER(SEARCH("*pursue other*",'Raw Rejection Data'!$G13)),1,0)</f>
        <v>0</v>
      </c>
      <c r="I12" s="17">
        <f t="shared" si="1"/>
        <v>0</v>
      </c>
      <c r="J12" s="17">
        <f t="shared" si="2"/>
        <v>0</v>
      </c>
      <c r="K12" s="17">
        <f t="shared" si="3"/>
        <v>0</v>
      </c>
      <c r="L12" s="17">
        <f t="shared" si="4"/>
        <v>0</v>
      </c>
      <c r="M12" s="17">
        <f t="shared" si="0"/>
        <v>0</v>
      </c>
      <c r="N12" s="17">
        <f t="shared" si="5"/>
        <v>0</v>
      </c>
      <c r="O12" s="18">
        <f t="shared" si="6"/>
        <v>0</v>
      </c>
      <c r="P12" s="18">
        <f t="shared" si="7"/>
        <v>0</v>
      </c>
      <c r="Q12" s="18">
        <f t="shared" si="8"/>
        <v>0</v>
      </c>
      <c r="R12" s="18">
        <f t="shared" si="9"/>
        <v>0</v>
      </c>
      <c r="S12" s="18">
        <f t="shared" si="10"/>
        <v>0</v>
      </c>
      <c r="T12" s="18">
        <f t="shared" si="11"/>
        <v>0</v>
      </c>
      <c r="U12" s="17">
        <f t="shared" si="12"/>
        <v>0</v>
      </c>
      <c r="V12" s="17">
        <f t="shared" si="13"/>
        <v>1</v>
      </c>
      <c r="W12" s="17">
        <f t="shared" si="14"/>
        <v>0</v>
      </c>
      <c r="X12" s="17">
        <f t="shared" si="15"/>
        <v>0</v>
      </c>
      <c r="Y12" s="17">
        <f t="shared" si="16"/>
        <v>0</v>
      </c>
      <c r="Z12" s="17">
        <f t="shared" si="17"/>
        <v>0</v>
      </c>
      <c r="AA12" s="18">
        <f t="shared" si="18"/>
        <v>0</v>
      </c>
      <c r="AB12" s="18">
        <f t="shared" si="19"/>
        <v>0</v>
      </c>
      <c r="AC12" s="18">
        <f t="shared" si="20"/>
        <v>0</v>
      </c>
      <c r="AD12" s="18">
        <f t="shared" si="21"/>
        <v>0</v>
      </c>
      <c r="AE12" s="18">
        <f t="shared" si="22"/>
        <v>0</v>
      </c>
      <c r="AF12" s="18">
        <f t="shared" si="23"/>
        <v>0</v>
      </c>
      <c r="AG12" s="17">
        <f t="shared" si="24"/>
        <v>0</v>
      </c>
      <c r="AH12" s="17">
        <f t="shared" si="25"/>
        <v>0</v>
      </c>
      <c r="AI12" s="17">
        <f t="shared" si="26"/>
        <v>0</v>
      </c>
      <c r="AJ12" s="17">
        <f t="shared" si="27"/>
        <v>0</v>
      </c>
      <c r="AK12" s="17">
        <f t="shared" si="28"/>
        <v>0</v>
      </c>
      <c r="AL12" s="17">
        <f t="shared" si="29"/>
        <v>0</v>
      </c>
      <c r="AM12" s="18">
        <f t="shared" si="30"/>
        <v>0</v>
      </c>
      <c r="AN12" s="18">
        <f t="shared" si="31"/>
        <v>0</v>
      </c>
      <c r="AO12" s="18">
        <f t="shared" si="32"/>
        <v>0</v>
      </c>
      <c r="AP12" s="18">
        <f t="shared" si="33"/>
        <v>0</v>
      </c>
      <c r="AQ12" s="18">
        <f t="shared" si="34"/>
        <v>0</v>
      </c>
      <c r="AR12" s="18">
        <f t="shared" si="35"/>
        <v>0</v>
      </c>
      <c r="AS12" s="17">
        <f t="shared" si="36"/>
        <v>0</v>
      </c>
      <c r="AT12" s="17">
        <f t="shared" si="37"/>
        <v>0</v>
      </c>
      <c r="AU12" s="17">
        <f t="shared" si="38"/>
        <v>0</v>
      </c>
      <c r="AV12" s="17">
        <f t="shared" si="39"/>
        <v>0</v>
      </c>
      <c r="AW12" s="17">
        <f t="shared" si="40"/>
        <v>0</v>
      </c>
      <c r="AX12" s="17">
        <f t="shared" si="41"/>
        <v>0</v>
      </c>
      <c r="AY12" s="18">
        <f t="shared" si="42"/>
        <v>0</v>
      </c>
      <c r="AZ12" s="18">
        <f t="shared" si="43"/>
        <v>0</v>
      </c>
      <c r="BA12" s="18">
        <f t="shared" si="44"/>
        <v>0</v>
      </c>
      <c r="BB12" s="18">
        <f t="shared" si="45"/>
        <v>0</v>
      </c>
      <c r="BC12" s="18">
        <f t="shared" si="46"/>
        <v>0</v>
      </c>
      <c r="BD12" s="18">
        <f t="shared" si="47"/>
        <v>0</v>
      </c>
    </row>
    <row r="13" spans="1:56" x14ac:dyDescent="0.3">
      <c r="A13" t="str">
        <f>'Raw Rejection Data'!B14</f>
        <v>Workday</v>
      </c>
      <c r="B13" s="6">
        <f>IF(ISNUMBER(SEARCH("align",'Raw Rejection Data'!$G14)),1,0)</f>
        <v>1</v>
      </c>
      <c r="C13" s="6">
        <f>IF(ISNUMBER(SEARCH("*mov*",'Raw Rejection Data'!$G14)),1,0)</f>
        <v>0</v>
      </c>
      <c r="D13" s="6">
        <f>IF(ISNUMBER(SEARCH("closer match",'Raw Rejection Data'!$G14)),1,0)</f>
        <v>0</v>
      </c>
      <c r="E13" s="6">
        <f>IF(ISNUMBER(SEARCH("better meet",'Raw Rejection Data'!$G14)),1,0)</f>
        <v>0</v>
      </c>
      <c r="F13" s="6">
        <f>IF(ISNUMBER(SEARCH("filled",'Raw Rejection Data'!$G14)),1,0)</f>
        <v>0</v>
      </c>
      <c r="G13" s="6">
        <f>IF(ISNUMBER(SEARCH("*pursue other*",'Raw Rejection Data'!$G14)),1,0)</f>
        <v>1</v>
      </c>
      <c r="I13" s="17">
        <f t="shared" si="1"/>
        <v>0</v>
      </c>
      <c r="J13" s="17">
        <f t="shared" si="2"/>
        <v>0</v>
      </c>
      <c r="K13" s="17">
        <f t="shared" si="3"/>
        <v>0</v>
      </c>
      <c r="L13" s="17">
        <f t="shared" si="4"/>
        <v>0</v>
      </c>
      <c r="M13" s="17">
        <f t="shared" si="0"/>
        <v>0</v>
      </c>
      <c r="N13" s="17">
        <f t="shared" si="5"/>
        <v>0</v>
      </c>
      <c r="O13" s="18">
        <f t="shared" si="6"/>
        <v>0</v>
      </c>
      <c r="P13" s="18">
        <f t="shared" si="7"/>
        <v>0</v>
      </c>
      <c r="Q13" s="18">
        <f t="shared" si="8"/>
        <v>0</v>
      </c>
      <c r="R13" s="18">
        <f t="shared" si="9"/>
        <v>0</v>
      </c>
      <c r="S13" s="18">
        <f t="shared" si="10"/>
        <v>0</v>
      </c>
      <c r="T13" s="18">
        <f t="shared" si="11"/>
        <v>0</v>
      </c>
      <c r="U13" s="17">
        <f t="shared" si="12"/>
        <v>1</v>
      </c>
      <c r="V13" s="17">
        <f t="shared" si="13"/>
        <v>0</v>
      </c>
      <c r="W13" s="17">
        <f t="shared" si="14"/>
        <v>0</v>
      </c>
      <c r="X13" s="17">
        <f t="shared" si="15"/>
        <v>0</v>
      </c>
      <c r="Y13" s="17">
        <f t="shared" si="16"/>
        <v>0</v>
      </c>
      <c r="Z13" s="17">
        <f t="shared" si="17"/>
        <v>1</v>
      </c>
      <c r="AA13" s="18">
        <f t="shared" si="18"/>
        <v>0</v>
      </c>
      <c r="AB13" s="18">
        <f t="shared" si="19"/>
        <v>0</v>
      </c>
      <c r="AC13" s="18">
        <f t="shared" si="20"/>
        <v>0</v>
      </c>
      <c r="AD13" s="18">
        <f t="shared" si="21"/>
        <v>0</v>
      </c>
      <c r="AE13" s="18">
        <f t="shared" si="22"/>
        <v>0</v>
      </c>
      <c r="AF13" s="18">
        <f t="shared" si="23"/>
        <v>0</v>
      </c>
      <c r="AG13" s="17">
        <f t="shared" si="24"/>
        <v>0</v>
      </c>
      <c r="AH13" s="17">
        <f t="shared" si="25"/>
        <v>0</v>
      </c>
      <c r="AI13" s="17">
        <f t="shared" si="26"/>
        <v>0</v>
      </c>
      <c r="AJ13" s="17">
        <f t="shared" si="27"/>
        <v>0</v>
      </c>
      <c r="AK13" s="17">
        <f t="shared" si="28"/>
        <v>0</v>
      </c>
      <c r="AL13" s="17">
        <f t="shared" si="29"/>
        <v>0</v>
      </c>
      <c r="AM13" s="18">
        <f t="shared" si="30"/>
        <v>0</v>
      </c>
      <c r="AN13" s="18">
        <f t="shared" si="31"/>
        <v>0</v>
      </c>
      <c r="AO13" s="18">
        <f t="shared" si="32"/>
        <v>0</v>
      </c>
      <c r="AP13" s="18">
        <f t="shared" si="33"/>
        <v>0</v>
      </c>
      <c r="AQ13" s="18">
        <f t="shared" si="34"/>
        <v>0</v>
      </c>
      <c r="AR13" s="18">
        <f t="shared" si="35"/>
        <v>0</v>
      </c>
      <c r="AS13" s="17">
        <f t="shared" si="36"/>
        <v>0</v>
      </c>
      <c r="AT13" s="17">
        <f t="shared" si="37"/>
        <v>0</v>
      </c>
      <c r="AU13" s="17">
        <f t="shared" si="38"/>
        <v>0</v>
      </c>
      <c r="AV13" s="17">
        <f t="shared" si="39"/>
        <v>0</v>
      </c>
      <c r="AW13" s="17">
        <f t="shared" si="40"/>
        <v>0</v>
      </c>
      <c r="AX13" s="17">
        <f t="shared" si="41"/>
        <v>0</v>
      </c>
      <c r="AY13" s="18">
        <f t="shared" si="42"/>
        <v>0</v>
      </c>
      <c r="AZ13" s="18">
        <f t="shared" si="43"/>
        <v>0</v>
      </c>
      <c r="BA13" s="18">
        <f t="shared" si="44"/>
        <v>0</v>
      </c>
      <c r="BB13" s="18">
        <f t="shared" si="45"/>
        <v>0</v>
      </c>
      <c r="BC13" s="18">
        <f t="shared" si="46"/>
        <v>0</v>
      </c>
      <c r="BD13" s="18">
        <f t="shared" si="47"/>
        <v>0</v>
      </c>
    </row>
    <row r="14" spans="1:56" x14ac:dyDescent="0.3">
      <c r="A14" t="str">
        <f>'Raw Rejection Data'!B15</f>
        <v>Paylocity</v>
      </c>
      <c r="B14" s="6">
        <f>IF(ISNUMBER(SEARCH("align",'Raw Rejection Data'!$G15)),1,0)</f>
        <v>0</v>
      </c>
      <c r="C14" s="6">
        <f>IF(ISNUMBER(SEARCH("*mov*",'Raw Rejection Data'!$G15)),1,0)</f>
        <v>1</v>
      </c>
      <c r="D14" s="6">
        <f>IF(ISNUMBER(SEARCH("closer match",'Raw Rejection Data'!$G15)),1,0)</f>
        <v>0</v>
      </c>
      <c r="E14" s="6">
        <f>IF(ISNUMBER(SEARCH("better meet",'Raw Rejection Data'!$G15)),1,0)</f>
        <v>0</v>
      </c>
      <c r="F14" s="6">
        <f>IF(ISNUMBER(SEARCH("filled",'Raw Rejection Data'!$G15)),1,0)</f>
        <v>0</v>
      </c>
      <c r="G14" s="6">
        <f>IF(ISNUMBER(SEARCH("*pursue other*",'Raw Rejection Data'!$G15)),1,0)</f>
        <v>0</v>
      </c>
      <c r="I14" s="17">
        <f t="shared" si="1"/>
        <v>0</v>
      </c>
      <c r="J14" s="17">
        <f t="shared" si="2"/>
        <v>0</v>
      </c>
      <c r="K14" s="17">
        <f t="shared" si="3"/>
        <v>0</v>
      </c>
      <c r="L14" s="17">
        <f t="shared" si="4"/>
        <v>0</v>
      </c>
      <c r="M14" s="17">
        <f t="shared" si="0"/>
        <v>0</v>
      </c>
      <c r="N14" s="17">
        <f t="shared" si="5"/>
        <v>0</v>
      </c>
      <c r="O14" s="18">
        <f t="shared" si="6"/>
        <v>0</v>
      </c>
      <c r="P14" s="18">
        <f t="shared" si="7"/>
        <v>0</v>
      </c>
      <c r="Q14" s="18">
        <f t="shared" si="8"/>
        <v>0</v>
      </c>
      <c r="R14" s="18">
        <f t="shared" si="9"/>
        <v>0</v>
      </c>
      <c r="S14" s="18">
        <f t="shared" si="10"/>
        <v>0</v>
      </c>
      <c r="T14" s="18">
        <f t="shared" si="11"/>
        <v>0</v>
      </c>
      <c r="U14" s="17">
        <f t="shared" si="12"/>
        <v>0</v>
      </c>
      <c r="V14" s="17">
        <f t="shared" si="13"/>
        <v>0</v>
      </c>
      <c r="W14" s="17">
        <f t="shared" si="14"/>
        <v>0</v>
      </c>
      <c r="X14" s="17">
        <f t="shared" si="15"/>
        <v>0</v>
      </c>
      <c r="Y14" s="17">
        <f t="shared" si="16"/>
        <v>0</v>
      </c>
      <c r="Z14" s="17">
        <f t="shared" si="17"/>
        <v>0</v>
      </c>
      <c r="AA14" s="18">
        <f t="shared" si="18"/>
        <v>0</v>
      </c>
      <c r="AB14" s="18">
        <f t="shared" si="19"/>
        <v>1</v>
      </c>
      <c r="AC14" s="18">
        <f t="shared" si="20"/>
        <v>0</v>
      </c>
      <c r="AD14" s="18">
        <f t="shared" si="21"/>
        <v>0</v>
      </c>
      <c r="AE14" s="18">
        <f t="shared" si="22"/>
        <v>0</v>
      </c>
      <c r="AF14" s="18">
        <f t="shared" si="23"/>
        <v>0</v>
      </c>
      <c r="AG14" s="17">
        <f t="shared" si="24"/>
        <v>0</v>
      </c>
      <c r="AH14" s="17">
        <f t="shared" si="25"/>
        <v>0</v>
      </c>
      <c r="AI14" s="17">
        <f t="shared" si="26"/>
        <v>0</v>
      </c>
      <c r="AJ14" s="17">
        <f t="shared" si="27"/>
        <v>0</v>
      </c>
      <c r="AK14" s="17">
        <f t="shared" si="28"/>
        <v>0</v>
      </c>
      <c r="AL14" s="17">
        <f t="shared" si="29"/>
        <v>0</v>
      </c>
      <c r="AM14" s="18">
        <f t="shared" si="30"/>
        <v>0</v>
      </c>
      <c r="AN14" s="18">
        <f t="shared" si="31"/>
        <v>0</v>
      </c>
      <c r="AO14" s="18">
        <f t="shared" si="32"/>
        <v>0</v>
      </c>
      <c r="AP14" s="18">
        <f t="shared" si="33"/>
        <v>0</v>
      </c>
      <c r="AQ14" s="18">
        <f t="shared" si="34"/>
        <v>0</v>
      </c>
      <c r="AR14" s="18">
        <f t="shared" si="35"/>
        <v>0</v>
      </c>
      <c r="AS14" s="17">
        <f t="shared" si="36"/>
        <v>0</v>
      </c>
      <c r="AT14" s="17">
        <f t="shared" si="37"/>
        <v>0</v>
      </c>
      <c r="AU14" s="17">
        <f t="shared" si="38"/>
        <v>0</v>
      </c>
      <c r="AV14" s="17">
        <f t="shared" si="39"/>
        <v>0</v>
      </c>
      <c r="AW14" s="17">
        <f t="shared" si="40"/>
        <v>0</v>
      </c>
      <c r="AX14" s="17">
        <f t="shared" si="41"/>
        <v>0</v>
      </c>
      <c r="AY14" s="18">
        <f t="shared" si="42"/>
        <v>0</v>
      </c>
      <c r="AZ14" s="18">
        <f t="shared" si="43"/>
        <v>0</v>
      </c>
      <c r="BA14" s="18">
        <f t="shared" si="44"/>
        <v>0</v>
      </c>
      <c r="BB14" s="18">
        <f t="shared" si="45"/>
        <v>0</v>
      </c>
      <c r="BC14" s="18">
        <f t="shared" si="46"/>
        <v>0</v>
      </c>
      <c r="BD14" s="18">
        <f t="shared" si="47"/>
        <v>0</v>
      </c>
    </row>
    <row r="15" spans="1:56" x14ac:dyDescent="0.3">
      <c r="A15" t="str">
        <f>'Raw Rejection Data'!B16</f>
        <v>Paylocity</v>
      </c>
      <c r="B15" s="6">
        <f>IF(ISNUMBER(SEARCH("align",'Raw Rejection Data'!$G16)),1,0)</f>
        <v>0</v>
      </c>
      <c r="C15" s="6">
        <f>IF(ISNUMBER(SEARCH("*mov*",'Raw Rejection Data'!$G16)),1,0)</f>
        <v>0</v>
      </c>
      <c r="D15" s="6">
        <f>IF(ISNUMBER(SEARCH("closer match",'Raw Rejection Data'!$G16)),1,0)</f>
        <v>1</v>
      </c>
      <c r="E15" s="6">
        <f>IF(ISNUMBER(SEARCH("better meet",'Raw Rejection Data'!$G16)),1,0)</f>
        <v>0</v>
      </c>
      <c r="F15" s="6">
        <f>IF(ISNUMBER(SEARCH("filled",'Raw Rejection Data'!$G16)),1,0)</f>
        <v>0</v>
      </c>
      <c r="G15" s="6">
        <f>IF(ISNUMBER(SEARCH("*pursue other*",'Raw Rejection Data'!$G16)),1,0)</f>
        <v>0</v>
      </c>
      <c r="I15" s="17">
        <f t="shared" si="1"/>
        <v>0</v>
      </c>
      <c r="J15" s="17">
        <f t="shared" si="2"/>
        <v>0</v>
      </c>
      <c r="K15" s="17">
        <f t="shared" si="3"/>
        <v>0</v>
      </c>
      <c r="L15" s="17">
        <f t="shared" si="4"/>
        <v>0</v>
      </c>
      <c r="M15" s="17">
        <f t="shared" si="0"/>
        <v>0</v>
      </c>
      <c r="N15" s="17">
        <f t="shared" si="5"/>
        <v>0</v>
      </c>
      <c r="O15" s="18">
        <f t="shared" si="6"/>
        <v>0</v>
      </c>
      <c r="P15" s="18">
        <f t="shared" si="7"/>
        <v>0</v>
      </c>
      <c r="Q15" s="18">
        <f t="shared" si="8"/>
        <v>0</v>
      </c>
      <c r="R15" s="18">
        <f t="shared" si="9"/>
        <v>0</v>
      </c>
      <c r="S15" s="18">
        <f t="shared" si="10"/>
        <v>0</v>
      </c>
      <c r="T15" s="18">
        <f t="shared" si="11"/>
        <v>0</v>
      </c>
      <c r="U15" s="17">
        <f t="shared" si="12"/>
        <v>0</v>
      </c>
      <c r="V15" s="17">
        <f t="shared" si="13"/>
        <v>0</v>
      </c>
      <c r="W15" s="17">
        <f t="shared" si="14"/>
        <v>0</v>
      </c>
      <c r="X15" s="17">
        <f t="shared" si="15"/>
        <v>0</v>
      </c>
      <c r="Y15" s="17">
        <f t="shared" si="16"/>
        <v>0</v>
      </c>
      <c r="Z15" s="17">
        <f t="shared" si="17"/>
        <v>0</v>
      </c>
      <c r="AA15" s="18">
        <f t="shared" si="18"/>
        <v>0</v>
      </c>
      <c r="AB15" s="18">
        <f t="shared" si="19"/>
        <v>0</v>
      </c>
      <c r="AC15" s="18">
        <f t="shared" si="20"/>
        <v>1</v>
      </c>
      <c r="AD15" s="18">
        <f t="shared" si="21"/>
        <v>0</v>
      </c>
      <c r="AE15" s="18">
        <f t="shared" si="22"/>
        <v>0</v>
      </c>
      <c r="AF15" s="18">
        <f t="shared" si="23"/>
        <v>0</v>
      </c>
      <c r="AG15" s="17">
        <f t="shared" si="24"/>
        <v>0</v>
      </c>
      <c r="AH15" s="17">
        <f t="shared" si="25"/>
        <v>0</v>
      </c>
      <c r="AI15" s="17">
        <f t="shared" si="26"/>
        <v>0</v>
      </c>
      <c r="AJ15" s="17">
        <f t="shared" si="27"/>
        <v>0</v>
      </c>
      <c r="AK15" s="17">
        <f t="shared" si="28"/>
        <v>0</v>
      </c>
      <c r="AL15" s="17">
        <f t="shared" si="29"/>
        <v>0</v>
      </c>
      <c r="AM15" s="18">
        <f t="shared" si="30"/>
        <v>0</v>
      </c>
      <c r="AN15" s="18">
        <f t="shared" si="31"/>
        <v>0</v>
      </c>
      <c r="AO15" s="18">
        <f t="shared" si="32"/>
        <v>0</v>
      </c>
      <c r="AP15" s="18">
        <f t="shared" si="33"/>
        <v>0</v>
      </c>
      <c r="AQ15" s="18">
        <f t="shared" si="34"/>
        <v>0</v>
      </c>
      <c r="AR15" s="18">
        <f t="shared" si="35"/>
        <v>0</v>
      </c>
      <c r="AS15" s="17">
        <f t="shared" si="36"/>
        <v>0</v>
      </c>
      <c r="AT15" s="17">
        <f t="shared" si="37"/>
        <v>0</v>
      </c>
      <c r="AU15" s="17">
        <f t="shared" si="38"/>
        <v>0</v>
      </c>
      <c r="AV15" s="17">
        <f t="shared" si="39"/>
        <v>0</v>
      </c>
      <c r="AW15" s="17">
        <f t="shared" si="40"/>
        <v>0</v>
      </c>
      <c r="AX15" s="17">
        <f t="shared" si="41"/>
        <v>0</v>
      </c>
      <c r="AY15" s="18">
        <f t="shared" si="42"/>
        <v>0</v>
      </c>
      <c r="AZ15" s="18">
        <f t="shared" si="43"/>
        <v>0</v>
      </c>
      <c r="BA15" s="18">
        <f t="shared" si="44"/>
        <v>0</v>
      </c>
      <c r="BB15" s="18">
        <f t="shared" si="45"/>
        <v>0</v>
      </c>
      <c r="BC15" s="18">
        <f t="shared" si="46"/>
        <v>0</v>
      </c>
      <c r="BD15" s="18">
        <f t="shared" si="47"/>
        <v>0</v>
      </c>
    </row>
    <row r="16" spans="1:56" x14ac:dyDescent="0.3">
      <c r="A16" t="str">
        <f>'Raw Rejection Data'!B17</f>
        <v>Ashby</v>
      </c>
      <c r="B16" s="6">
        <f>IF(ISNUMBER(SEARCH("align",'Raw Rejection Data'!$G17)),1,0)</f>
        <v>0</v>
      </c>
      <c r="C16" s="6">
        <f>IF(ISNUMBER(SEARCH("*mov*",'Raw Rejection Data'!$G17)),1,0)</f>
        <v>0</v>
      </c>
      <c r="D16" s="6">
        <f>IF(ISNUMBER(SEARCH("closer match",'Raw Rejection Data'!$G17)),1,0)</f>
        <v>0</v>
      </c>
      <c r="E16" s="6">
        <f>IF(ISNUMBER(SEARCH("better meet",'Raw Rejection Data'!$G17)),1,0)</f>
        <v>0</v>
      </c>
      <c r="F16" s="6">
        <f>IF(ISNUMBER(SEARCH("filled",'Raw Rejection Data'!$G17)),1,0)</f>
        <v>1</v>
      </c>
      <c r="G16" s="6">
        <f>IF(ISNUMBER(SEARCH("*pursue other*",'Raw Rejection Data'!$G17)),1,0)</f>
        <v>0</v>
      </c>
      <c r="I16" s="17">
        <f t="shared" si="1"/>
        <v>0</v>
      </c>
      <c r="J16" s="17">
        <f t="shared" si="2"/>
        <v>0</v>
      </c>
      <c r="K16" s="17">
        <f t="shared" si="3"/>
        <v>0</v>
      </c>
      <c r="L16" s="17">
        <f t="shared" si="4"/>
        <v>0</v>
      </c>
      <c r="M16" s="17">
        <f t="shared" si="0"/>
        <v>0</v>
      </c>
      <c r="N16" s="17">
        <f t="shared" si="5"/>
        <v>0</v>
      </c>
      <c r="O16" s="18">
        <f t="shared" si="6"/>
        <v>0</v>
      </c>
      <c r="P16" s="18">
        <f t="shared" si="7"/>
        <v>0</v>
      </c>
      <c r="Q16" s="18">
        <f t="shared" si="8"/>
        <v>0</v>
      </c>
      <c r="R16" s="18">
        <f t="shared" si="9"/>
        <v>0</v>
      </c>
      <c r="S16" s="18">
        <f t="shared" si="10"/>
        <v>0</v>
      </c>
      <c r="T16" s="18">
        <f t="shared" si="11"/>
        <v>0</v>
      </c>
      <c r="U16" s="17">
        <f t="shared" si="12"/>
        <v>0</v>
      </c>
      <c r="V16" s="17">
        <f t="shared" si="13"/>
        <v>0</v>
      </c>
      <c r="W16" s="17">
        <f t="shared" si="14"/>
        <v>0</v>
      </c>
      <c r="X16" s="17">
        <f t="shared" si="15"/>
        <v>0</v>
      </c>
      <c r="Y16" s="17">
        <f t="shared" si="16"/>
        <v>0</v>
      </c>
      <c r="Z16" s="17">
        <f t="shared" si="17"/>
        <v>0</v>
      </c>
      <c r="AA16" s="18">
        <f t="shared" si="18"/>
        <v>0</v>
      </c>
      <c r="AB16" s="18">
        <f t="shared" si="19"/>
        <v>0</v>
      </c>
      <c r="AC16" s="18">
        <f t="shared" si="20"/>
        <v>0</v>
      </c>
      <c r="AD16" s="18">
        <f t="shared" si="21"/>
        <v>0</v>
      </c>
      <c r="AE16" s="18">
        <f t="shared" si="22"/>
        <v>0</v>
      </c>
      <c r="AF16" s="18">
        <f t="shared" si="23"/>
        <v>0</v>
      </c>
      <c r="AG16" s="17">
        <f t="shared" si="24"/>
        <v>0</v>
      </c>
      <c r="AH16" s="17">
        <f t="shared" si="25"/>
        <v>0</v>
      </c>
      <c r="AI16" s="17">
        <f t="shared" si="26"/>
        <v>0</v>
      </c>
      <c r="AJ16" s="17">
        <f t="shared" si="27"/>
        <v>0</v>
      </c>
      <c r="AK16" s="17">
        <f t="shared" si="28"/>
        <v>1</v>
      </c>
      <c r="AL16" s="17">
        <f t="shared" si="29"/>
        <v>0</v>
      </c>
      <c r="AM16" s="18">
        <f t="shared" si="30"/>
        <v>0</v>
      </c>
      <c r="AN16" s="18">
        <f t="shared" si="31"/>
        <v>0</v>
      </c>
      <c r="AO16" s="18">
        <f t="shared" si="32"/>
        <v>0</v>
      </c>
      <c r="AP16" s="18">
        <f t="shared" si="33"/>
        <v>0</v>
      </c>
      <c r="AQ16" s="18">
        <f t="shared" si="34"/>
        <v>0</v>
      </c>
      <c r="AR16" s="18">
        <f t="shared" si="35"/>
        <v>0</v>
      </c>
      <c r="AS16" s="17">
        <f t="shared" si="36"/>
        <v>0</v>
      </c>
      <c r="AT16" s="17">
        <f t="shared" si="37"/>
        <v>0</v>
      </c>
      <c r="AU16" s="17">
        <f t="shared" si="38"/>
        <v>0</v>
      </c>
      <c r="AV16" s="17">
        <f t="shared" si="39"/>
        <v>0</v>
      </c>
      <c r="AW16" s="17">
        <f t="shared" si="40"/>
        <v>0</v>
      </c>
      <c r="AX16" s="17">
        <f t="shared" si="41"/>
        <v>0</v>
      </c>
      <c r="AY16" s="18">
        <f t="shared" si="42"/>
        <v>0</v>
      </c>
      <c r="AZ16" s="18">
        <f t="shared" si="43"/>
        <v>0</v>
      </c>
      <c r="BA16" s="18">
        <f t="shared" si="44"/>
        <v>0</v>
      </c>
      <c r="BB16" s="18">
        <f t="shared" si="45"/>
        <v>0</v>
      </c>
      <c r="BC16" s="18">
        <f t="shared" si="46"/>
        <v>0</v>
      </c>
      <c r="BD16" s="18">
        <f t="shared" si="47"/>
        <v>0</v>
      </c>
    </row>
    <row r="17" spans="1:56" x14ac:dyDescent="0.3">
      <c r="A17" t="str">
        <f>'Raw Rejection Data'!B18</f>
        <v>JazzHr</v>
      </c>
      <c r="B17" s="6">
        <f>IF(ISNUMBER(SEARCH("align",'Raw Rejection Data'!$G18)),1,0)</f>
        <v>0</v>
      </c>
      <c r="C17" s="6">
        <f>IF(ISNUMBER(SEARCH("*mov*",'Raw Rejection Data'!$G18)),1,0)</f>
        <v>1</v>
      </c>
      <c r="D17" s="6">
        <f>IF(ISNUMBER(SEARCH("closer match",'Raw Rejection Data'!$G18)),1,0)</f>
        <v>0</v>
      </c>
      <c r="E17" s="6">
        <f>IF(ISNUMBER(SEARCH("better meet",'Raw Rejection Data'!$G18)),1,0)</f>
        <v>0</v>
      </c>
      <c r="F17" s="6">
        <f>IF(ISNUMBER(SEARCH("filled",'Raw Rejection Data'!$G18)),1,0)</f>
        <v>0</v>
      </c>
      <c r="G17" s="6">
        <f>IF(ISNUMBER(SEARCH("*pursue other*",'Raw Rejection Data'!$G18)),1,0)</f>
        <v>0</v>
      </c>
      <c r="I17" s="17">
        <f t="shared" si="1"/>
        <v>0</v>
      </c>
      <c r="J17" s="17">
        <f t="shared" si="2"/>
        <v>0</v>
      </c>
      <c r="K17" s="17">
        <f t="shared" si="3"/>
        <v>0</v>
      </c>
      <c r="L17" s="17">
        <f t="shared" si="4"/>
        <v>0</v>
      </c>
      <c r="M17" s="17">
        <f t="shared" si="0"/>
        <v>0</v>
      </c>
      <c r="N17" s="17">
        <f t="shared" si="5"/>
        <v>0</v>
      </c>
      <c r="O17" s="18">
        <f t="shared" si="6"/>
        <v>0</v>
      </c>
      <c r="P17" s="18">
        <f t="shared" si="7"/>
        <v>0</v>
      </c>
      <c r="Q17" s="18">
        <f t="shared" si="8"/>
        <v>0</v>
      </c>
      <c r="R17" s="18">
        <f t="shared" si="9"/>
        <v>0</v>
      </c>
      <c r="S17" s="18">
        <f t="shared" si="10"/>
        <v>0</v>
      </c>
      <c r="T17" s="18">
        <f t="shared" si="11"/>
        <v>0</v>
      </c>
      <c r="U17" s="17">
        <f t="shared" si="12"/>
        <v>0</v>
      </c>
      <c r="V17" s="17">
        <f t="shared" si="13"/>
        <v>0</v>
      </c>
      <c r="W17" s="17">
        <f t="shared" si="14"/>
        <v>0</v>
      </c>
      <c r="X17" s="17">
        <f t="shared" si="15"/>
        <v>0</v>
      </c>
      <c r="Y17" s="17">
        <f t="shared" si="16"/>
        <v>0</v>
      </c>
      <c r="Z17" s="17">
        <f t="shared" si="17"/>
        <v>0</v>
      </c>
      <c r="AA17" s="18">
        <f t="shared" si="18"/>
        <v>0</v>
      </c>
      <c r="AB17" s="18">
        <f t="shared" si="19"/>
        <v>0</v>
      </c>
      <c r="AC17" s="18">
        <f t="shared" si="20"/>
        <v>0</v>
      </c>
      <c r="AD17" s="18">
        <f t="shared" si="21"/>
        <v>0</v>
      </c>
      <c r="AE17" s="18">
        <f t="shared" si="22"/>
        <v>0</v>
      </c>
      <c r="AF17" s="18">
        <f t="shared" si="23"/>
        <v>0</v>
      </c>
      <c r="AG17" s="17">
        <f t="shared" si="24"/>
        <v>0</v>
      </c>
      <c r="AH17" s="17">
        <f t="shared" si="25"/>
        <v>0</v>
      </c>
      <c r="AI17" s="17">
        <f t="shared" si="26"/>
        <v>0</v>
      </c>
      <c r="AJ17" s="17">
        <f t="shared" si="27"/>
        <v>0</v>
      </c>
      <c r="AK17" s="17">
        <f t="shared" si="28"/>
        <v>0</v>
      </c>
      <c r="AL17" s="17">
        <f t="shared" si="29"/>
        <v>0</v>
      </c>
      <c r="AM17" s="18">
        <f t="shared" si="30"/>
        <v>0</v>
      </c>
      <c r="AN17" s="18">
        <f t="shared" si="31"/>
        <v>1</v>
      </c>
      <c r="AO17" s="18">
        <f t="shared" si="32"/>
        <v>0</v>
      </c>
      <c r="AP17" s="18">
        <f t="shared" si="33"/>
        <v>0</v>
      </c>
      <c r="AQ17" s="18">
        <f t="shared" si="34"/>
        <v>0</v>
      </c>
      <c r="AR17" s="18">
        <f t="shared" si="35"/>
        <v>0</v>
      </c>
      <c r="AS17" s="17">
        <f t="shared" si="36"/>
        <v>0</v>
      </c>
      <c r="AT17" s="17">
        <f t="shared" si="37"/>
        <v>0</v>
      </c>
      <c r="AU17" s="17">
        <f t="shared" si="38"/>
        <v>0</v>
      </c>
      <c r="AV17" s="17">
        <f t="shared" si="39"/>
        <v>0</v>
      </c>
      <c r="AW17" s="17">
        <f t="shared" si="40"/>
        <v>0</v>
      </c>
      <c r="AX17" s="17">
        <f t="shared" si="41"/>
        <v>0</v>
      </c>
      <c r="AY17" s="18">
        <f t="shared" si="42"/>
        <v>0</v>
      </c>
      <c r="AZ17" s="18">
        <f t="shared" si="43"/>
        <v>0</v>
      </c>
      <c r="BA17" s="18">
        <f t="shared" si="44"/>
        <v>0</v>
      </c>
      <c r="BB17" s="18">
        <f t="shared" si="45"/>
        <v>0</v>
      </c>
      <c r="BC17" s="18">
        <f t="shared" si="46"/>
        <v>0</v>
      </c>
      <c r="BD17" s="18">
        <f t="shared" si="47"/>
        <v>0</v>
      </c>
    </row>
    <row r="18" spans="1:56" x14ac:dyDescent="0.3">
      <c r="A18" t="str">
        <f>'Raw Rejection Data'!B19</f>
        <v>SAP Success Factors</v>
      </c>
      <c r="B18" s="6">
        <f>IF(ISNUMBER(SEARCH("align",'Raw Rejection Data'!$G19)),1,0)</f>
        <v>0</v>
      </c>
      <c r="C18" s="6">
        <f>IF(ISNUMBER(SEARCH("*mov*",'Raw Rejection Data'!$G19)),1,0)</f>
        <v>0</v>
      </c>
      <c r="D18" s="6">
        <f>IF(ISNUMBER(SEARCH("closer match",'Raw Rejection Data'!$G19)),1,0)</f>
        <v>0</v>
      </c>
      <c r="E18" s="6">
        <f>IF(ISNUMBER(SEARCH("better meet",'Raw Rejection Data'!$G19)),1,0)</f>
        <v>0</v>
      </c>
      <c r="F18" s="6">
        <f>IF(ISNUMBER(SEARCH("filled",'Raw Rejection Data'!$G19)),1,0)</f>
        <v>0</v>
      </c>
      <c r="G18" s="6">
        <f>IF(ISNUMBER(SEARCH("*pursue other*",'Raw Rejection Data'!$G19)),1,0)</f>
        <v>1</v>
      </c>
      <c r="I18" s="17">
        <f t="shared" si="1"/>
        <v>0</v>
      </c>
      <c r="J18" s="17">
        <f t="shared" si="2"/>
        <v>0</v>
      </c>
      <c r="K18" s="17">
        <f t="shared" si="3"/>
        <v>0</v>
      </c>
      <c r="L18" s="17">
        <f t="shared" si="4"/>
        <v>0</v>
      </c>
      <c r="M18" s="17">
        <f t="shared" si="0"/>
        <v>0</v>
      </c>
      <c r="N18" s="17">
        <f t="shared" si="5"/>
        <v>0</v>
      </c>
      <c r="O18" s="18">
        <f t="shared" si="6"/>
        <v>0</v>
      </c>
      <c r="P18" s="18">
        <f t="shared" si="7"/>
        <v>0</v>
      </c>
      <c r="Q18" s="18">
        <f t="shared" si="8"/>
        <v>0</v>
      </c>
      <c r="R18" s="18">
        <f t="shared" si="9"/>
        <v>0</v>
      </c>
      <c r="S18" s="18">
        <f t="shared" si="10"/>
        <v>0</v>
      </c>
      <c r="T18" s="18">
        <f t="shared" si="11"/>
        <v>0</v>
      </c>
      <c r="U18" s="17">
        <f t="shared" si="12"/>
        <v>0</v>
      </c>
      <c r="V18" s="17">
        <f t="shared" si="13"/>
        <v>0</v>
      </c>
      <c r="W18" s="17">
        <f t="shared" si="14"/>
        <v>0</v>
      </c>
      <c r="X18" s="17">
        <f t="shared" si="15"/>
        <v>0</v>
      </c>
      <c r="Y18" s="17">
        <f t="shared" si="16"/>
        <v>0</v>
      </c>
      <c r="Z18" s="17">
        <f t="shared" si="17"/>
        <v>0</v>
      </c>
      <c r="AA18" s="18">
        <f t="shared" si="18"/>
        <v>0</v>
      </c>
      <c r="AB18" s="18">
        <f t="shared" si="19"/>
        <v>0</v>
      </c>
      <c r="AC18" s="18">
        <f t="shared" si="20"/>
        <v>0</v>
      </c>
      <c r="AD18" s="18">
        <f t="shared" si="21"/>
        <v>0</v>
      </c>
      <c r="AE18" s="18">
        <f t="shared" si="22"/>
        <v>0</v>
      </c>
      <c r="AF18" s="18">
        <f t="shared" si="23"/>
        <v>0</v>
      </c>
      <c r="AG18" s="17">
        <f t="shared" si="24"/>
        <v>0</v>
      </c>
      <c r="AH18" s="17">
        <f t="shared" si="25"/>
        <v>0</v>
      </c>
      <c r="AI18" s="17">
        <f t="shared" si="26"/>
        <v>0</v>
      </c>
      <c r="AJ18" s="17">
        <f t="shared" si="27"/>
        <v>0</v>
      </c>
      <c r="AK18" s="17">
        <f t="shared" si="28"/>
        <v>0</v>
      </c>
      <c r="AL18" s="17">
        <f t="shared" si="29"/>
        <v>0</v>
      </c>
      <c r="AM18" s="18">
        <f t="shared" si="30"/>
        <v>0</v>
      </c>
      <c r="AN18" s="18">
        <f t="shared" si="31"/>
        <v>0</v>
      </c>
      <c r="AO18" s="18">
        <f t="shared" si="32"/>
        <v>0</v>
      </c>
      <c r="AP18" s="18">
        <f t="shared" si="33"/>
        <v>0</v>
      </c>
      <c r="AQ18" s="18">
        <f t="shared" si="34"/>
        <v>0</v>
      </c>
      <c r="AR18" s="18">
        <f t="shared" si="35"/>
        <v>0</v>
      </c>
      <c r="AS18" s="17">
        <f t="shared" si="36"/>
        <v>0</v>
      </c>
      <c r="AT18" s="17">
        <f t="shared" si="37"/>
        <v>0</v>
      </c>
      <c r="AU18" s="17">
        <f t="shared" si="38"/>
        <v>0</v>
      </c>
      <c r="AV18" s="17">
        <f t="shared" si="39"/>
        <v>0</v>
      </c>
      <c r="AW18" s="17">
        <f t="shared" si="40"/>
        <v>0</v>
      </c>
      <c r="AX18" s="17">
        <f t="shared" si="41"/>
        <v>1</v>
      </c>
      <c r="AY18" s="18">
        <f t="shared" si="42"/>
        <v>0</v>
      </c>
      <c r="AZ18" s="18">
        <f t="shared" si="43"/>
        <v>0</v>
      </c>
      <c r="BA18" s="18">
        <f t="shared" si="44"/>
        <v>0</v>
      </c>
      <c r="BB18" s="18">
        <f t="shared" si="45"/>
        <v>0</v>
      </c>
      <c r="BC18" s="18">
        <f t="shared" si="46"/>
        <v>0</v>
      </c>
      <c r="BD18" s="18">
        <f t="shared" si="47"/>
        <v>0</v>
      </c>
    </row>
    <row r="19" spans="1:56" x14ac:dyDescent="0.3">
      <c r="A19" t="str">
        <f>'Raw Rejection Data'!B20</f>
        <v>Rippling</v>
      </c>
      <c r="B19" s="6">
        <f>IF(ISNUMBER(SEARCH("align",'Raw Rejection Data'!$G20)),1,0)</f>
        <v>0</v>
      </c>
      <c r="C19" s="6">
        <f>IF(ISNUMBER(SEARCH("*mov*",'Raw Rejection Data'!$G20)),1,0)</f>
        <v>1</v>
      </c>
      <c r="D19" s="6">
        <f>IF(ISNUMBER(SEARCH("closer match",'Raw Rejection Data'!$G20)),1,0)</f>
        <v>0</v>
      </c>
      <c r="E19" s="6">
        <f>IF(ISNUMBER(SEARCH("better meet",'Raw Rejection Data'!$G20)),1,0)</f>
        <v>0</v>
      </c>
      <c r="F19" s="6">
        <f>IF(ISNUMBER(SEARCH("filled",'Raw Rejection Data'!$G20)),1,0)</f>
        <v>0</v>
      </c>
      <c r="G19" s="6">
        <f>IF(ISNUMBER(SEARCH("*pursue other*",'Raw Rejection Data'!$G20)),1,0)</f>
        <v>0</v>
      </c>
      <c r="I19" s="17">
        <f t="shared" si="1"/>
        <v>0</v>
      </c>
      <c r="J19" s="17">
        <f t="shared" si="2"/>
        <v>0</v>
      </c>
      <c r="K19" s="17">
        <f t="shared" si="3"/>
        <v>0</v>
      </c>
      <c r="L19" s="17">
        <f t="shared" si="4"/>
        <v>0</v>
      </c>
      <c r="M19" s="17">
        <f t="shared" si="0"/>
        <v>0</v>
      </c>
      <c r="N19" s="17">
        <f t="shared" si="5"/>
        <v>0</v>
      </c>
      <c r="O19" s="18">
        <f t="shared" si="6"/>
        <v>0</v>
      </c>
      <c r="P19" s="18">
        <f t="shared" si="7"/>
        <v>0</v>
      </c>
      <c r="Q19" s="18">
        <f t="shared" si="8"/>
        <v>0</v>
      </c>
      <c r="R19" s="18">
        <f t="shared" si="9"/>
        <v>0</v>
      </c>
      <c r="S19" s="18">
        <f t="shared" si="10"/>
        <v>0</v>
      </c>
      <c r="T19" s="18">
        <f t="shared" si="11"/>
        <v>0</v>
      </c>
      <c r="U19" s="17">
        <f t="shared" si="12"/>
        <v>0</v>
      </c>
      <c r="V19" s="17">
        <f t="shared" si="13"/>
        <v>0</v>
      </c>
      <c r="W19" s="17">
        <f t="shared" si="14"/>
        <v>0</v>
      </c>
      <c r="X19" s="17">
        <f t="shared" si="15"/>
        <v>0</v>
      </c>
      <c r="Y19" s="17">
        <f t="shared" si="16"/>
        <v>0</v>
      </c>
      <c r="Z19" s="17">
        <f t="shared" si="17"/>
        <v>0</v>
      </c>
      <c r="AA19" s="18">
        <f t="shared" si="18"/>
        <v>0</v>
      </c>
      <c r="AB19" s="18">
        <f t="shared" si="19"/>
        <v>0</v>
      </c>
      <c r="AC19" s="18">
        <f t="shared" si="20"/>
        <v>0</v>
      </c>
      <c r="AD19" s="18">
        <f t="shared" si="21"/>
        <v>0</v>
      </c>
      <c r="AE19" s="18">
        <f t="shared" si="22"/>
        <v>0</v>
      </c>
      <c r="AF19" s="18">
        <f t="shared" si="23"/>
        <v>0</v>
      </c>
      <c r="AG19" s="17">
        <f t="shared" si="24"/>
        <v>0</v>
      </c>
      <c r="AH19" s="17">
        <f t="shared" si="25"/>
        <v>0</v>
      </c>
      <c r="AI19" s="17">
        <f t="shared" si="26"/>
        <v>0</v>
      </c>
      <c r="AJ19" s="17">
        <f t="shared" si="27"/>
        <v>0</v>
      </c>
      <c r="AK19" s="17">
        <f t="shared" si="28"/>
        <v>0</v>
      </c>
      <c r="AL19" s="17">
        <f t="shared" si="29"/>
        <v>0</v>
      </c>
      <c r="AM19" s="18">
        <f t="shared" si="30"/>
        <v>0</v>
      </c>
      <c r="AN19" s="18">
        <f t="shared" si="31"/>
        <v>0</v>
      </c>
      <c r="AO19" s="18">
        <f t="shared" si="32"/>
        <v>0</v>
      </c>
      <c r="AP19" s="18">
        <f t="shared" si="33"/>
        <v>0</v>
      </c>
      <c r="AQ19" s="18">
        <f t="shared" si="34"/>
        <v>0</v>
      </c>
      <c r="AR19" s="18">
        <f t="shared" si="35"/>
        <v>0</v>
      </c>
      <c r="AS19" s="17">
        <f t="shared" si="36"/>
        <v>0</v>
      </c>
      <c r="AT19" s="17">
        <f t="shared" si="37"/>
        <v>0</v>
      </c>
      <c r="AU19" s="17">
        <f t="shared" si="38"/>
        <v>0</v>
      </c>
      <c r="AV19" s="17">
        <f t="shared" si="39"/>
        <v>0</v>
      </c>
      <c r="AW19" s="17">
        <f t="shared" si="40"/>
        <v>0</v>
      </c>
      <c r="AX19" s="17">
        <f t="shared" si="41"/>
        <v>0</v>
      </c>
      <c r="AY19" s="18">
        <f t="shared" si="42"/>
        <v>0</v>
      </c>
      <c r="AZ19" s="18">
        <f t="shared" si="43"/>
        <v>1</v>
      </c>
      <c r="BA19" s="18">
        <f t="shared" si="44"/>
        <v>0</v>
      </c>
      <c r="BB19" s="18">
        <f t="shared" si="45"/>
        <v>0</v>
      </c>
      <c r="BC19" s="18">
        <f t="shared" si="46"/>
        <v>0</v>
      </c>
      <c r="BD19" s="18">
        <f t="shared" si="47"/>
        <v>0</v>
      </c>
    </row>
    <row r="20" spans="1:56" x14ac:dyDescent="0.3">
      <c r="B20" s="6"/>
      <c r="C20" s="6"/>
      <c r="D20" s="6"/>
      <c r="E20" s="6"/>
      <c r="F20" s="6"/>
      <c r="G20" s="6"/>
      <c r="AS20" s="19"/>
      <c r="AT20" s="17"/>
      <c r="AU20" s="17"/>
      <c r="AV20" s="17"/>
      <c r="AW20" s="17"/>
    </row>
    <row r="21" spans="1:56" s="21" customFormat="1" x14ac:dyDescent="0.3">
      <c r="A21" s="26" t="s">
        <v>55</v>
      </c>
      <c r="B21" s="21">
        <f>SUM(B3:B19)</f>
        <v>4</v>
      </c>
      <c r="C21" s="21">
        <f t="shared" ref="C21:BD21" si="48">SUM(C3:C19)</f>
        <v>10</v>
      </c>
      <c r="D21" s="21">
        <f t="shared" si="48"/>
        <v>1</v>
      </c>
      <c r="E21" s="21">
        <f t="shared" si="48"/>
        <v>1</v>
      </c>
      <c r="F21" s="21">
        <f t="shared" si="48"/>
        <v>2</v>
      </c>
      <c r="G21" s="21">
        <f t="shared" si="48"/>
        <v>3</v>
      </c>
      <c r="H21" s="29">
        <f t="shared" si="48"/>
        <v>0</v>
      </c>
      <c r="I21" s="21">
        <f t="shared" si="48"/>
        <v>3</v>
      </c>
      <c r="J21" s="21">
        <f t="shared" si="48"/>
        <v>3</v>
      </c>
      <c r="K21" s="21">
        <f t="shared" si="48"/>
        <v>0</v>
      </c>
      <c r="L21" s="21">
        <f t="shared" si="48"/>
        <v>0</v>
      </c>
      <c r="M21" s="21">
        <f t="shared" si="48"/>
        <v>0</v>
      </c>
      <c r="N21" s="21">
        <f t="shared" si="48"/>
        <v>0</v>
      </c>
      <c r="O21" s="11">
        <f t="shared" si="48"/>
        <v>0</v>
      </c>
      <c r="P21" s="11">
        <f t="shared" si="48"/>
        <v>1</v>
      </c>
      <c r="Q21" s="11">
        <f t="shared" si="48"/>
        <v>0</v>
      </c>
      <c r="R21" s="11">
        <f t="shared" si="48"/>
        <v>0</v>
      </c>
      <c r="S21" s="11">
        <f t="shared" si="48"/>
        <v>1</v>
      </c>
      <c r="T21" s="11">
        <f t="shared" si="48"/>
        <v>0</v>
      </c>
      <c r="U21" s="21">
        <f t="shared" si="48"/>
        <v>1</v>
      </c>
      <c r="V21" s="21">
        <f t="shared" si="48"/>
        <v>3</v>
      </c>
      <c r="W21" s="21">
        <f t="shared" si="48"/>
        <v>0</v>
      </c>
      <c r="X21" s="21">
        <f t="shared" si="48"/>
        <v>1</v>
      </c>
      <c r="Y21" s="21">
        <f t="shared" si="48"/>
        <v>0</v>
      </c>
      <c r="Z21" s="21">
        <f t="shared" si="48"/>
        <v>2</v>
      </c>
      <c r="AA21" s="11">
        <f t="shared" si="48"/>
        <v>0</v>
      </c>
      <c r="AB21" s="11">
        <f t="shared" si="48"/>
        <v>1</v>
      </c>
      <c r="AC21" s="11">
        <f t="shared" si="48"/>
        <v>1</v>
      </c>
      <c r="AD21" s="11">
        <f t="shared" si="48"/>
        <v>0</v>
      </c>
      <c r="AE21" s="11">
        <f t="shared" si="48"/>
        <v>0</v>
      </c>
      <c r="AF21" s="11">
        <f t="shared" si="48"/>
        <v>0</v>
      </c>
      <c r="AG21" s="21">
        <f t="shared" si="48"/>
        <v>0</v>
      </c>
      <c r="AH21" s="21">
        <f t="shared" si="48"/>
        <v>0</v>
      </c>
      <c r="AI21" s="21">
        <f t="shared" si="48"/>
        <v>0</v>
      </c>
      <c r="AJ21" s="21">
        <f t="shared" si="48"/>
        <v>0</v>
      </c>
      <c r="AK21" s="21">
        <f t="shared" si="48"/>
        <v>1</v>
      </c>
      <c r="AL21" s="21">
        <f t="shared" si="48"/>
        <v>0</v>
      </c>
      <c r="AM21" s="11">
        <f t="shared" si="48"/>
        <v>0</v>
      </c>
      <c r="AN21" s="11">
        <f t="shared" si="48"/>
        <v>1</v>
      </c>
      <c r="AO21" s="11">
        <f t="shared" si="48"/>
        <v>0</v>
      </c>
      <c r="AP21" s="11">
        <f t="shared" si="48"/>
        <v>0</v>
      </c>
      <c r="AQ21" s="11">
        <f t="shared" si="48"/>
        <v>0</v>
      </c>
      <c r="AR21" s="11">
        <f t="shared" si="48"/>
        <v>0</v>
      </c>
      <c r="AS21" s="21">
        <f t="shared" si="48"/>
        <v>0</v>
      </c>
      <c r="AT21" s="21">
        <f t="shared" si="48"/>
        <v>0</v>
      </c>
      <c r="AU21" s="21">
        <f t="shared" si="48"/>
        <v>0</v>
      </c>
      <c r="AV21" s="21">
        <f t="shared" si="48"/>
        <v>0</v>
      </c>
      <c r="AW21" s="21">
        <f t="shared" si="48"/>
        <v>0</v>
      </c>
      <c r="AX21" s="21">
        <f t="shared" si="48"/>
        <v>1</v>
      </c>
      <c r="AY21" s="11">
        <f t="shared" si="48"/>
        <v>0</v>
      </c>
      <c r="AZ21" s="11">
        <f t="shared" si="48"/>
        <v>1</v>
      </c>
      <c r="BA21" s="11">
        <f t="shared" si="48"/>
        <v>0</v>
      </c>
      <c r="BB21" s="11">
        <f t="shared" si="48"/>
        <v>0</v>
      </c>
      <c r="BC21" s="11">
        <f t="shared" si="48"/>
        <v>0</v>
      </c>
      <c r="BD21" s="11">
        <f t="shared" si="48"/>
        <v>0</v>
      </c>
    </row>
    <row r="28" spans="1:56" x14ac:dyDescent="0.3">
      <c r="A28" s="20"/>
      <c r="I28"/>
      <c r="J28"/>
      <c r="K28"/>
      <c r="L28"/>
      <c r="M28"/>
      <c r="N28"/>
      <c r="O28" s="12"/>
      <c r="P28" s="12"/>
      <c r="Q28" s="12"/>
      <c r="R28" s="12"/>
      <c r="S28" s="12"/>
      <c r="T28" s="12"/>
      <c r="U28"/>
      <c r="V28"/>
      <c r="W28"/>
      <c r="X28"/>
      <c r="Y28"/>
      <c r="Z28"/>
      <c r="AA28" s="12"/>
      <c r="AB28" s="12"/>
      <c r="AC28" s="12"/>
      <c r="AD28" s="12"/>
      <c r="AE28" s="12"/>
      <c r="AF28" s="12"/>
      <c r="AG28"/>
      <c r="AH28"/>
      <c r="AI28"/>
      <c r="AJ28"/>
      <c r="AK28"/>
      <c r="AL28"/>
      <c r="AM28" s="12"/>
      <c r="AN28" s="12"/>
      <c r="AO28" s="12"/>
      <c r="AP28" s="12"/>
      <c r="AQ28" s="12"/>
      <c r="AR28" s="12"/>
      <c r="AX28"/>
      <c r="AY28" s="12"/>
      <c r="AZ28" s="12"/>
      <c r="BA28" s="12"/>
      <c r="BB28" s="12"/>
      <c r="BC28" s="12"/>
      <c r="BD28" s="12"/>
    </row>
    <row r="29" spans="1:56" x14ac:dyDescent="0.3">
      <c r="A29" s="20"/>
      <c r="I29"/>
      <c r="J29"/>
      <c r="K29"/>
      <c r="L29"/>
      <c r="M29"/>
      <c r="N29"/>
      <c r="O29" s="12"/>
      <c r="P29" s="12"/>
      <c r="Q29" s="12"/>
      <c r="R29" s="12"/>
      <c r="S29" s="12"/>
      <c r="T29" s="12"/>
      <c r="U29"/>
      <c r="V29"/>
      <c r="W29"/>
      <c r="X29"/>
      <c r="Y29"/>
      <c r="Z29"/>
      <c r="AA29" s="12"/>
      <c r="AB29" s="12"/>
      <c r="AC29" s="12"/>
      <c r="AD29" s="12"/>
      <c r="AE29" s="12"/>
      <c r="AF29" s="12"/>
      <c r="AG29"/>
      <c r="AH29"/>
      <c r="AI29"/>
      <c r="AJ29"/>
      <c r="AK29"/>
      <c r="AL29"/>
      <c r="AM29" s="12"/>
      <c r="AN29" s="12"/>
      <c r="AO29" s="12"/>
      <c r="AP29" s="12"/>
      <c r="AQ29" s="12"/>
      <c r="AR29" s="12"/>
      <c r="AX29"/>
      <c r="AY29" s="12"/>
      <c r="AZ29" s="12"/>
      <c r="BA29" s="12"/>
      <c r="BB29" s="12"/>
      <c r="BC29" s="12"/>
      <c r="BD29" s="12"/>
    </row>
    <row r="30" spans="1:56" x14ac:dyDescent="0.3">
      <c r="A30" s="20"/>
      <c r="I30"/>
      <c r="J30"/>
      <c r="K30"/>
      <c r="L30"/>
      <c r="M30"/>
      <c r="N30"/>
      <c r="O30" s="12"/>
      <c r="P30" s="12"/>
      <c r="Q30" s="12"/>
      <c r="R30" s="12"/>
      <c r="S30" s="12"/>
      <c r="T30" s="12"/>
      <c r="U30"/>
      <c r="V30"/>
      <c r="W30"/>
      <c r="X30"/>
      <c r="Y30"/>
      <c r="Z30"/>
      <c r="AA30" s="12"/>
      <c r="AB30" s="12"/>
      <c r="AC30" s="12"/>
      <c r="AD30" s="12"/>
      <c r="AE30" s="12"/>
      <c r="AF30" s="12"/>
      <c r="AG30"/>
      <c r="AH30"/>
      <c r="AI30"/>
      <c r="AJ30"/>
      <c r="AK30"/>
      <c r="AL30"/>
      <c r="AM30" s="12"/>
      <c r="AN30" s="12"/>
      <c r="AO30" s="12"/>
      <c r="AP30" s="12"/>
      <c r="AQ30" s="12"/>
      <c r="AR30" s="12"/>
      <c r="AX30"/>
      <c r="AY30" s="12"/>
      <c r="AZ30" s="12"/>
      <c r="BA30" s="12"/>
      <c r="BB30" s="12"/>
      <c r="BC30" s="12"/>
      <c r="BD30" s="12"/>
    </row>
    <row r="31" spans="1:56" x14ac:dyDescent="0.3">
      <c r="A31" s="20"/>
      <c r="I31"/>
      <c r="J31"/>
      <c r="K31"/>
      <c r="L31"/>
      <c r="M31"/>
      <c r="N31"/>
      <c r="O31" s="12"/>
      <c r="P31" s="12"/>
      <c r="Q31" s="12"/>
      <c r="R31" s="12"/>
      <c r="S31" s="12"/>
      <c r="T31" s="12"/>
      <c r="U31"/>
      <c r="V31"/>
      <c r="W31"/>
      <c r="X31"/>
      <c r="Y31"/>
      <c r="Z31"/>
      <c r="AA31" s="12"/>
      <c r="AB31" s="12"/>
      <c r="AC31" s="12"/>
      <c r="AD31" s="12"/>
      <c r="AE31" s="12"/>
      <c r="AF31" s="12"/>
      <c r="AG31"/>
      <c r="AH31"/>
      <c r="AI31"/>
      <c r="AJ31"/>
      <c r="AK31"/>
      <c r="AL31"/>
      <c r="AM31" s="12"/>
      <c r="AN31" s="12"/>
      <c r="AO31" s="12"/>
      <c r="AP31" s="12"/>
      <c r="AQ31" s="12"/>
      <c r="AR31" s="12"/>
      <c r="AX31"/>
      <c r="AY31" s="12"/>
      <c r="AZ31" s="12"/>
      <c r="BA31" s="12"/>
      <c r="BB31" s="12"/>
      <c r="BC31" s="12"/>
      <c r="BD31" s="12"/>
    </row>
    <row r="32" spans="1:56" x14ac:dyDescent="0.3">
      <c r="A32" s="20"/>
      <c r="I32"/>
      <c r="J32"/>
      <c r="K32"/>
      <c r="L32"/>
      <c r="M32"/>
      <c r="N32"/>
      <c r="O32" s="12"/>
      <c r="P32" s="12"/>
      <c r="Q32" s="12"/>
      <c r="R32" s="12"/>
      <c r="S32" s="12"/>
      <c r="T32" s="12"/>
      <c r="U32"/>
      <c r="V32"/>
      <c r="W32"/>
      <c r="X32"/>
      <c r="Y32"/>
      <c r="Z32"/>
      <c r="AA32" s="12"/>
      <c r="AB32" s="12"/>
      <c r="AC32" s="12"/>
      <c r="AD32" s="12"/>
      <c r="AE32" s="12"/>
      <c r="AF32" s="12"/>
      <c r="AG32"/>
      <c r="AH32"/>
      <c r="AI32"/>
      <c r="AJ32"/>
      <c r="AK32"/>
      <c r="AL32"/>
      <c r="AM32" s="12"/>
      <c r="AN32" s="12"/>
      <c r="AO32" s="12"/>
      <c r="AP32" s="12"/>
      <c r="AQ32" s="12"/>
      <c r="AR32" s="12"/>
      <c r="AX32"/>
      <c r="AY32" s="12"/>
      <c r="AZ32" s="12"/>
      <c r="BA32" s="12"/>
      <c r="BB32" s="12"/>
      <c r="BC32" s="12"/>
      <c r="BD32" s="12"/>
    </row>
    <row r="33" spans="1:1" x14ac:dyDescent="0.3">
      <c r="A33" s="20"/>
    </row>
    <row r="34" spans="1:1" x14ac:dyDescent="0.3">
      <c r="A34" s="20"/>
    </row>
    <row r="35" spans="1:1" x14ac:dyDescent="0.3">
      <c r="A35" s="2"/>
    </row>
    <row r="36" spans="1:1" x14ac:dyDescent="0.3">
      <c r="A36" s="20"/>
    </row>
    <row r="37" spans="1:1" x14ac:dyDescent="0.3">
      <c r="A37" s="20"/>
    </row>
    <row r="38" spans="1:1" x14ac:dyDescent="0.3">
      <c r="A38" s="20"/>
    </row>
    <row r="39" spans="1:1" x14ac:dyDescent="0.3">
      <c r="A39" s="20"/>
    </row>
  </sheetData>
  <sheetProtection algorithmName="SHA-512" hashValue="i67OZfbIk1Aqm8q9lKfbtsNlHKDx64x+wQ+ClOFXi35ye3TvaXWtmClp0gLYVhPVptHjyFjyHhwkU+w2uM/PhQ==" saltValue="YRnOc8kY8wMZQP8zFASVxw==" spinCount="100000" sheet="1" objects="1" scenarios="1"/>
  <mergeCells count="9">
    <mergeCell ref="AY1:BD1"/>
    <mergeCell ref="A1:H1"/>
    <mergeCell ref="O1:T1"/>
    <mergeCell ref="AG1:AL1"/>
    <mergeCell ref="AM1:AR1"/>
    <mergeCell ref="AS1:AX1"/>
    <mergeCell ref="I1:L1"/>
    <mergeCell ref="U1:Z1"/>
    <mergeCell ref="AA1:A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Rejection Data</vt:lpstr>
      <vt:lpstr>Stats</vt:lpstr>
      <vt:lpstr>Derived Rejection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Latta</dc:creator>
  <cp:lastModifiedBy>Shawn Latta</cp:lastModifiedBy>
  <dcterms:created xsi:type="dcterms:W3CDTF">2026-03-30T20:08:08Z</dcterms:created>
  <dcterms:modified xsi:type="dcterms:W3CDTF">2026-03-31T00:16:11Z</dcterms:modified>
</cp:coreProperties>
</file>